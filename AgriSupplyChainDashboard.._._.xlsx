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0" tabRatio="500" activeTab="2"/>
  </bookViews>
  <sheets>
    <sheet name="📋 Raw Data" sheetId="1" r:id="rId1"/>
    <sheet name="Price chain analysis" sheetId="2" r:id="rId2"/>
    <sheet name="Dashboards" sheetId="3" r:id="rId3"/>
  </sheets>
  <calcPr calcId="124519"/>
</workbook>
</file>

<file path=xl/calcChain.xml><?xml version="1.0" encoding="utf-8"?>
<calcChain xmlns="http://schemas.openxmlformats.org/spreadsheetml/2006/main">
  <c r="N79" i="1"/>
  <c r="N80"/>
  <c r="N81"/>
  <c r="N82"/>
  <c r="N83"/>
  <c r="N84"/>
  <c r="N85"/>
  <c r="N86"/>
  <c r="N95"/>
  <c r="N96"/>
  <c r="N97"/>
  <c r="N98"/>
  <c r="N99"/>
  <c r="N100"/>
  <c r="N101"/>
  <c r="N102"/>
  <c r="N103"/>
  <c r="N104"/>
  <c r="N105"/>
  <c r="N106"/>
  <c r="N107"/>
  <c r="N108"/>
  <c r="N109"/>
  <c r="N110"/>
  <c r="F3"/>
  <c r="N3" s="1"/>
  <c r="B29" i="2"/>
  <c r="B32"/>
  <c r="B27"/>
  <c r="B28"/>
  <c r="B30"/>
  <c r="B31"/>
  <c r="D31" s="1"/>
  <c r="B33"/>
  <c r="B26"/>
  <c r="C20"/>
  <c r="C19"/>
  <c r="C5"/>
  <c r="C6"/>
  <c r="C7"/>
  <c r="C8"/>
  <c r="C9"/>
  <c r="C10"/>
  <c r="C11"/>
  <c r="C12"/>
  <c r="C13"/>
  <c r="C18"/>
  <c r="B25"/>
  <c r="D33"/>
  <c r="K4" i="1"/>
  <c r="K5"/>
  <c r="K6"/>
  <c r="K7"/>
  <c r="K8"/>
  <c r="K9"/>
  <c r="K10"/>
  <c r="K11"/>
  <c r="K12"/>
  <c r="K13"/>
  <c r="K14"/>
  <c r="K15"/>
  <c r="K16"/>
  <c r="K17"/>
  <c r="K18"/>
  <c r="K19"/>
  <c r="K20"/>
  <c r="K21"/>
  <c r="K22"/>
  <c r="K23"/>
  <c r="K24"/>
  <c r="K25"/>
  <c r="K26"/>
  <c r="K27"/>
  <c r="K28"/>
  <c r="K29"/>
  <c r="K30"/>
  <c r="K31"/>
  <c r="K32"/>
  <c r="K33"/>
  <c r="K34"/>
  <c r="K35"/>
  <c r="K36"/>
  <c r="K37"/>
  <c r="K38"/>
  <c r="K39"/>
  <c r="K40"/>
  <c r="K41"/>
  <c r="K42"/>
  <c r="K43"/>
  <c r="K44"/>
  <c r="K45"/>
  <c r="K46"/>
  <c r="K47"/>
  <c r="K48"/>
  <c r="K49"/>
  <c r="K50"/>
  <c r="K51"/>
  <c r="K52"/>
  <c r="K53"/>
  <c r="K54"/>
  <c r="K55"/>
  <c r="K56"/>
  <c r="K57"/>
  <c r="K58"/>
  <c r="K59"/>
  <c r="K60"/>
  <c r="K61"/>
  <c r="K62"/>
  <c r="K63"/>
  <c r="K64"/>
  <c r="K65"/>
  <c r="K66"/>
  <c r="K67"/>
  <c r="K68"/>
  <c r="K69"/>
  <c r="K70"/>
  <c r="K71"/>
  <c r="K72"/>
  <c r="K73"/>
  <c r="K74"/>
  <c r="K75"/>
  <c r="K76"/>
  <c r="K77"/>
  <c r="K78"/>
  <c r="K79"/>
  <c r="K80"/>
  <c r="K81"/>
  <c r="K82"/>
  <c r="K83"/>
  <c r="K84"/>
  <c r="K85"/>
  <c r="K86"/>
  <c r="K87"/>
  <c r="K88"/>
  <c r="K89"/>
  <c r="K90"/>
  <c r="K91"/>
  <c r="K92"/>
  <c r="K93"/>
  <c r="K94"/>
  <c r="K95"/>
  <c r="K96"/>
  <c r="K97"/>
  <c r="K98"/>
  <c r="K99"/>
  <c r="K100"/>
  <c r="K101"/>
  <c r="K102"/>
  <c r="K103"/>
  <c r="K104"/>
  <c r="K105"/>
  <c r="K106"/>
  <c r="K107"/>
  <c r="K108"/>
  <c r="K109"/>
  <c r="K110"/>
  <c r="K3"/>
  <c r="H43"/>
  <c r="M43" s="1"/>
  <c r="H79"/>
  <c r="M79" s="1"/>
  <c r="H80"/>
  <c r="M80" s="1"/>
  <c r="H81"/>
  <c r="M81" s="1"/>
  <c r="H82"/>
  <c r="M82" s="1"/>
  <c r="H83"/>
  <c r="M83" s="1"/>
  <c r="H84"/>
  <c r="M84" s="1"/>
  <c r="H85"/>
  <c r="M85" s="1"/>
  <c r="H86"/>
  <c r="M86" s="1"/>
  <c r="H92"/>
  <c r="M92" s="1"/>
  <c r="H95"/>
  <c r="M95" s="1"/>
  <c r="H96"/>
  <c r="M96" s="1"/>
  <c r="H97"/>
  <c r="M97" s="1"/>
  <c r="H98"/>
  <c r="M98" s="1"/>
  <c r="H99"/>
  <c r="M99" s="1"/>
  <c r="H100"/>
  <c r="M100" s="1"/>
  <c r="H101"/>
  <c r="M101" s="1"/>
  <c r="H102"/>
  <c r="M102" s="1"/>
  <c r="H103"/>
  <c r="M103" s="1"/>
  <c r="H104"/>
  <c r="M104" s="1"/>
  <c r="H105"/>
  <c r="M105" s="1"/>
  <c r="H106"/>
  <c r="M106" s="1"/>
  <c r="H107"/>
  <c r="M107" s="1"/>
  <c r="H108"/>
  <c r="M108" s="1"/>
  <c r="H109"/>
  <c r="M109" s="1"/>
  <c r="H110"/>
  <c r="M110" s="1"/>
  <c r="E96"/>
  <c r="E97"/>
  <c r="E98"/>
  <c r="E99"/>
  <c r="E100"/>
  <c r="E101"/>
  <c r="E102"/>
  <c r="E103"/>
  <c r="E104"/>
  <c r="E105"/>
  <c r="E106"/>
  <c r="E107"/>
  <c r="E108"/>
  <c r="E109"/>
  <c r="E110"/>
  <c r="E95"/>
  <c r="F94"/>
  <c r="H94" s="1"/>
  <c r="M94" s="1"/>
  <c r="F93"/>
  <c r="H93" s="1"/>
  <c r="M93" s="1"/>
  <c r="F92"/>
  <c r="N92" s="1"/>
  <c r="F91"/>
  <c r="H91" s="1"/>
  <c r="M91" s="1"/>
  <c r="F26"/>
  <c r="H26" s="1"/>
  <c r="M26" s="1"/>
  <c r="F88"/>
  <c r="N88" s="1"/>
  <c r="F89"/>
  <c r="H89" s="1"/>
  <c r="M89" s="1"/>
  <c r="F90"/>
  <c r="H90" s="1"/>
  <c r="M90" s="1"/>
  <c r="F87"/>
  <c r="N87" s="1"/>
  <c r="E80"/>
  <c r="E81"/>
  <c r="E82"/>
  <c r="E83"/>
  <c r="E84"/>
  <c r="E85"/>
  <c r="E86"/>
  <c r="E79"/>
  <c r="F78"/>
  <c r="H78" s="1"/>
  <c r="M78" s="1"/>
  <c r="F77"/>
  <c r="H77" s="1"/>
  <c r="M77" s="1"/>
  <c r="F76"/>
  <c r="H76" s="1"/>
  <c r="M76" s="1"/>
  <c r="F75"/>
  <c r="H75" s="1"/>
  <c r="M75" s="1"/>
  <c r="F74"/>
  <c r="N74" s="1"/>
  <c r="F51"/>
  <c r="H51" s="1"/>
  <c r="M51" s="1"/>
  <c r="F52"/>
  <c r="H52" s="1"/>
  <c r="M52" s="1"/>
  <c r="F53"/>
  <c r="H53" s="1"/>
  <c r="M53" s="1"/>
  <c r="F54"/>
  <c r="H54" s="1"/>
  <c r="M54" s="1"/>
  <c r="F55"/>
  <c r="H55" s="1"/>
  <c r="M55" s="1"/>
  <c r="F56"/>
  <c r="H56" s="1"/>
  <c r="M56" s="1"/>
  <c r="F57"/>
  <c r="H57" s="1"/>
  <c r="M57" s="1"/>
  <c r="F58"/>
  <c r="N58" s="1"/>
  <c r="F59"/>
  <c r="H59" s="1"/>
  <c r="M59" s="1"/>
  <c r="F60"/>
  <c r="H60" s="1"/>
  <c r="M60" s="1"/>
  <c r="F61"/>
  <c r="H61" s="1"/>
  <c r="M61" s="1"/>
  <c r="F62"/>
  <c r="H62" s="1"/>
  <c r="M62" s="1"/>
  <c r="F63"/>
  <c r="H63" s="1"/>
  <c r="M63" s="1"/>
  <c r="F64"/>
  <c r="H64" s="1"/>
  <c r="M64" s="1"/>
  <c r="F65"/>
  <c r="H65" s="1"/>
  <c r="M65" s="1"/>
  <c r="F66"/>
  <c r="H66" s="1"/>
  <c r="M66" s="1"/>
  <c r="F67"/>
  <c r="H67" s="1"/>
  <c r="M67" s="1"/>
  <c r="F68"/>
  <c r="H68" s="1"/>
  <c r="M68" s="1"/>
  <c r="F69"/>
  <c r="H69" s="1"/>
  <c r="M69" s="1"/>
  <c r="F70"/>
  <c r="N70" s="1"/>
  <c r="F71"/>
  <c r="H71" s="1"/>
  <c r="M71" s="1"/>
  <c r="F72"/>
  <c r="H72" s="1"/>
  <c r="M72" s="1"/>
  <c r="F73"/>
  <c r="H73" s="1"/>
  <c r="M73" s="1"/>
  <c r="F50"/>
  <c r="H50" s="1"/>
  <c r="M50" s="1"/>
  <c r="F49"/>
  <c r="H49" s="1"/>
  <c r="M49" s="1"/>
  <c r="F48"/>
  <c r="H48" s="1"/>
  <c r="M48" s="1"/>
  <c r="F47"/>
  <c r="H47" s="1"/>
  <c r="M47" s="1"/>
  <c r="F46"/>
  <c r="N46" s="1"/>
  <c r="F45"/>
  <c r="H45" s="1"/>
  <c r="M45" s="1"/>
  <c r="F44"/>
  <c r="H44" s="1"/>
  <c r="M44" s="1"/>
  <c r="F43"/>
  <c r="N43" s="1"/>
  <c r="F42"/>
  <c r="H42" s="1"/>
  <c r="M42" s="1"/>
  <c r="F41"/>
  <c r="H41" s="1"/>
  <c r="M41" s="1"/>
  <c r="F40"/>
  <c r="H40" s="1"/>
  <c r="M40" s="1"/>
  <c r="F39"/>
  <c r="H39" s="1"/>
  <c r="M39" s="1"/>
  <c r="F4"/>
  <c r="H4" s="1"/>
  <c r="M4" s="1"/>
  <c r="F5"/>
  <c r="H5" s="1"/>
  <c r="M5" s="1"/>
  <c r="F6"/>
  <c r="H6" s="1"/>
  <c r="M6" s="1"/>
  <c r="F7"/>
  <c r="N7" s="1"/>
  <c r="F8"/>
  <c r="H8" s="1"/>
  <c r="M8" s="1"/>
  <c r="F9"/>
  <c r="H9" s="1"/>
  <c r="M9" s="1"/>
  <c r="F10"/>
  <c r="H10" s="1"/>
  <c r="M10" s="1"/>
  <c r="F11"/>
  <c r="H11" s="1"/>
  <c r="M11" s="1"/>
  <c r="F12"/>
  <c r="H12" s="1"/>
  <c r="M12" s="1"/>
  <c r="F13"/>
  <c r="H13" s="1"/>
  <c r="M13" s="1"/>
  <c r="F14"/>
  <c r="H14" s="1"/>
  <c r="M14" s="1"/>
  <c r="F15"/>
  <c r="N15" s="1"/>
  <c r="F16"/>
  <c r="H16" s="1"/>
  <c r="M16" s="1"/>
  <c r="F17"/>
  <c r="H17" s="1"/>
  <c r="M17" s="1"/>
  <c r="F18"/>
  <c r="H18" s="1"/>
  <c r="M18" s="1"/>
  <c r="F19"/>
  <c r="H19" s="1"/>
  <c r="M19" s="1"/>
  <c r="F20"/>
  <c r="H20" s="1"/>
  <c r="M20" s="1"/>
  <c r="F21"/>
  <c r="H21" s="1"/>
  <c r="M21" s="1"/>
  <c r="F22"/>
  <c r="H22" s="1"/>
  <c r="M22" s="1"/>
  <c r="F23"/>
  <c r="N23" s="1"/>
  <c r="F24"/>
  <c r="H24" s="1"/>
  <c r="M24" s="1"/>
  <c r="F25"/>
  <c r="H25" s="1"/>
  <c r="M25" s="1"/>
  <c r="F27"/>
  <c r="H27" s="1"/>
  <c r="M27" s="1"/>
  <c r="F28"/>
  <c r="H28" s="1"/>
  <c r="M28" s="1"/>
  <c r="F29"/>
  <c r="H29" s="1"/>
  <c r="M29" s="1"/>
  <c r="F30"/>
  <c r="H30" s="1"/>
  <c r="M30" s="1"/>
  <c r="F31"/>
  <c r="H31" s="1"/>
  <c r="M31" s="1"/>
  <c r="F32"/>
  <c r="H32" s="1"/>
  <c r="M32" s="1"/>
  <c r="F33"/>
  <c r="H33" s="1"/>
  <c r="M33" s="1"/>
  <c r="F34"/>
  <c r="H34" s="1"/>
  <c r="M34" s="1"/>
  <c r="F35"/>
  <c r="H35" s="1"/>
  <c r="M35" s="1"/>
  <c r="F36"/>
  <c r="H36" s="1"/>
  <c r="M36" s="1"/>
  <c r="F37"/>
  <c r="H37" s="1"/>
  <c r="M37" s="1"/>
  <c r="F38"/>
  <c r="H38" s="1"/>
  <c r="M38" s="1"/>
  <c r="H3"/>
  <c r="M3" s="1"/>
  <c r="H46" l="1"/>
  <c r="M46" s="1"/>
  <c r="H70"/>
  <c r="M70" s="1"/>
  <c r="H74"/>
  <c r="M74" s="1"/>
  <c r="E12" i="2"/>
  <c r="E9"/>
  <c r="E13"/>
  <c r="E11"/>
  <c r="E7"/>
  <c r="H7" i="1"/>
  <c r="M7" s="1"/>
  <c r="E6" i="2" s="1"/>
  <c r="B11"/>
  <c r="D11" s="1"/>
  <c r="H88" i="1"/>
  <c r="M88" s="1"/>
  <c r="H58"/>
  <c r="M58" s="1"/>
  <c r="H23"/>
  <c r="M23" s="1"/>
  <c r="E10" i="2" s="1"/>
  <c r="B5"/>
  <c r="D5" s="1"/>
  <c r="B9"/>
  <c r="B13"/>
  <c r="N76" i="1"/>
  <c r="N72"/>
  <c r="N68"/>
  <c r="N64"/>
  <c r="N60"/>
  <c r="N56"/>
  <c r="N52"/>
  <c r="N48"/>
  <c r="N44"/>
  <c r="N40"/>
  <c r="N36"/>
  <c r="N32"/>
  <c r="N28"/>
  <c r="N24"/>
  <c r="N20"/>
  <c r="N16"/>
  <c r="N12"/>
  <c r="N8"/>
  <c r="N4"/>
  <c r="B12" i="2"/>
  <c r="B20"/>
  <c r="N93" i="1"/>
  <c r="N89"/>
  <c r="N77"/>
  <c r="N73"/>
  <c r="N69"/>
  <c r="N65"/>
  <c r="N61"/>
  <c r="N57"/>
  <c r="N53"/>
  <c r="N49"/>
  <c r="N45"/>
  <c r="N41"/>
  <c r="N37"/>
  <c r="N33"/>
  <c r="N29"/>
  <c r="N25"/>
  <c r="N21"/>
  <c r="N17"/>
  <c r="N13"/>
  <c r="N9"/>
  <c r="N5"/>
  <c r="B8" i="2"/>
  <c r="B19"/>
  <c r="N94" i="1"/>
  <c r="N90"/>
  <c r="N78"/>
  <c r="N66"/>
  <c r="N62"/>
  <c r="N54"/>
  <c r="N50"/>
  <c r="N42"/>
  <c r="N38"/>
  <c r="N34"/>
  <c r="N30"/>
  <c r="N26"/>
  <c r="N22"/>
  <c r="N18"/>
  <c r="N14"/>
  <c r="N10"/>
  <c r="N6"/>
  <c r="B18" i="2"/>
  <c r="B7"/>
  <c r="H87" i="1"/>
  <c r="M87" s="1"/>
  <c r="D20" i="2" s="1"/>
  <c r="H15" i="1"/>
  <c r="M15" s="1"/>
  <c r="E8" i="2" s="1"/>
  <c r="B6"/>
  <c r="B10"/>
  <c r="D10" s="1"/>
  <c r="C14"/>
  <c r="N91" i="1"/>
  <c r="N75"/>
  <c r="N71"/>
  <c r="N67"/>
  <c r="N63"/>
  <c r="N59"/>
  <c r="N55"/>
  <c r="N51"/>
  <c r="N47"/>
  <c r="N39"/>
  <c r="N35"/>
  <c r="N31"/>
  <c r="N27"/>
  <c r="N19"/>
  <c r="N11"/>
  <c r="E5" i="2"/>
  <c r="D18"/>
  <c r="D13"/>
  <c r="D26"/>
  <c r="D32"/>
  <c r="D25"/>
  <c r="D30"/>
  <c r="D9"/>
  <c r="D27"/>
  <c r="D28"/>
  <c r="D29"/>
  <c r="D6"/>
  <c r="D8"/>
  <c r="D12"/>
  <c r="D7"/>
  <c r="B14" l="1"/>
  <c r="E14"/>
  <c r="B4" i="3"/>
  <c r="D19" i="2"/>
  <c r="B3" i="3"/>
  <c r="D14" i="2"/>
</calcChain>
</file>

<file path=xl/sharedStrings.xml><?xml version="1.0" encoding="utf-8"?>
<sst xmlns="http://schemas.openxmlformats.org/spreadsheetml/2006/main" count="674" uniqueCount="91">
  <si>
    <t>DATE</t>
  </si>
  <si>
    <t>SEASON</t>
  </si>
  <si>
    <t>Vegetable</t>
  </si>
  <si>
    <t>Season</t>
  </si>
  <si>
    <t>AVERAGE</t>
  </si>
  <si>
    <t>Crop</t>
  </si>
  <si>
    <t xml:space="preserve">PRICE CHAIN ANALYSIS </t>
  </si>
  <si>
    <t>CATEGORY</t>
  </si>
  <si>
    <t>SECTION 2 - SEASONAL VARIATION</t>
  </si>
  <si>
    <t>SECTION 1 - CROP SUMMARY ANALYSIS</t>
  </si>
  <si>
    <t xml:space="preserve">Crop   </t>
  </si>
  <si>
    <t>SECTION 5 - SUPPLY CHAIN ANALYSIS</t>
  </si>
  <si>
    <t>SECTION 4 - PERISHABILITY ANALYSIS</t>
  </si>
  <si>
    <t>Highest markup crop</t>
  </si>
  <si>
    <t>Lowest markup crop</t>
  </si>
  <si>
    <t>Highest seasonal markup</t>
  </si>
  <si>
    <t>Average market markup</t>
  </si>
  <si>
    <t>Largest price gap</t>
  </si>
  <si>
    <t>WHOLESALE PRICE (RS/KG)</t>
  </si>
  <si>
    <t>RETAIL PRICE (RS/KG)</t>
  </si>
  <si>
    <t>PRICE GAP</t>
  </si>
  <si>
    <t>SHELF LIFE DAYS</t>
  </si>
  <si>
    <t>TRANSPORT BURDEN SCORE</t>
  </si>
  <si>
    <t>COLD STORAGE AVAILABILITY</t>
  </si>
  <si>
    <t>CROP NAME</t>
  </si>
  <si>
    <t>Average Markup %</t>
  </si>
  <si>
    <t>Average Price Gap</t>
  </si>
  <si>
    <t>Average Retail Price</t>
  </si>
  <si>
    <t>Average Wholesale Price</t>
  </si>
  <si>
    <t>Shelf Life Days</t>
  </si>
  <si>
    <t>Transport Burden</t>
  </si>
  <si>
    <t>ZAID</t>
  </si>
  <si>
    <t>Rice</t>
  </si>
  <si>
    <t>Onion</t>
  </si>
  <si>
    <t>Potato</t>
  </si>
  <si>
    <t>Brinjal</t>
  </si>
  <si>
    <t>Wheat</t>
  </si>
  <si>
    <t>Cauliflower</t>
  </si>
  <si>
    <t>Tomato</t>
  </si>
  <si>
    <t>Ginger</t>
  </si>
  <si>
    <t>Ladyfinger</t>
  </si>
  <si>
    <t>Commodity</t>
  </si>
  <si>
    <t>WHOLESALE PRICE (RS/QUINTAL)</t>
  </si>
  <si>
    <t>RABI</t>
  </si>
  <si>
    <t>KHARIF</t>
  </si>
  <si>
    <t>Yes</t>
  </si>
  <si>
    <t>Moderate</t>
  </si>
  <si>
    <t>No</t>
  </si>
  <si>
    <t>Limited</t>
  </si>
  <si>
    <t>TRANSPORT BURDEN</t>
  </si>
  <si>
    <t>Low</t>
  </si>
  <si>
    <t>Medium</t>
  </si>
  <si>
    <t>High</t>
  </si>
  <si>
    <t xml:space="preserve">Onion </t>
  </si>
  <si>
    <t xml:space="preserve">Ginger </t>
  </si>
  <si>
    <t>Zaid</t>
  </si>
  <si>
    <t>Rabi</t>
  </si>
  <si>
    <t>Kharif</t>
  </si>
  <si>
    <t>SECTION 3 - CROP VOLATILITY ANALYSIS</t>
  </si>
  <si>
    <t>Max Retail Price</t>
  </si>
  <si>
    <t>Min Retail Price</t>
  </si>
  <si>
    <t>Volatility</t>
  </si>
  <si>
    <t>Variable Pair</t>
  </si>
  <si>
    <t>Shelf Life vs Markup %</t>
  </si>
  <si>
    <t>Transport Burden vs Markup %</t>
  </si>
  <si>
    <t>Correlation</t>
  </si>
  <si>
    <r>
      <t xml:space="preserve">MARKUP </t>
    </r>
    <r>
      <rPr>
        <strike/>
        <sz val="9"/>
        <color rgb="FFFFFFFF"/>
        <rFont val="Arial"/>
        <family val="2"/>
      </rPr>
      <t>%</t>
    </r>
  </si>
  <si>
    <t>Shelf Life Day</t>
  </si>
  <si>
    <t>Markup %</t>
  </si>
  <si>
    <t>SECTION 1- CORRELATION</t>
  </si>
  <si>
    <t>Interpretation : The bar chart compares average wholesale and retail prices of different crops. Retail prices are consistently higher than wholesale prices for all crops, indicating the presence of markup across the supply chain. Crops like ginger and ladyfinger show a larger price difference, suggesting higher transportation, storage, or intermediary costs, while crops such as rice and wheat show relatively smaller differences and more stable pricing.</t>
  </si>
  <si>
    <t>SECTION 3- SHELF LIFE vs MARKUP PERCENTAGE</t>
  </si>
  <si>
    <r>
      <t>S</t>
    </r>
    <r>
      <rPr>
        <sz val="14"/>
        <color theme="0"/>
        <rFont val="Bell MT"/>
        <family val="1"/>
      </rPr>
      <t>ECTION 2 - WHOLESALE vs RETAIL PRICES</t>
    </r>
  </si>
  <si>
    <t>Interpretation: The scatter plot shows that crops with shorter shelf life generally have higher markup percentages, while crops with longer shelf life tend to have much lower markups. The wide variation in markup among highly perishable products suggests that factors such as spoilage risk, storage limitations, and transportation costs strongly influence pricing in the agricultural supply chain.</t>
  </si>
  <si>
    <r>
      <rPr>
        <sz val="16"/>
        <color theme="1"/>
        <rFont val="Bell MT"/>
        <family val="1"/>
      </rPr>
      <t>Interpretation: Shelf life showed a moderate negative correlation (-0.498) with markup percentage, indicating that highly perishable crops generally experience higher retail markups. Transport burden showed a moderate positive correlation (0.356), suggesting logistics difficulty and transportation costs contribute to supply-chain price inflation between wholesale and retail markets.</t>
    </r>
    <r>
      <rPr>
        <sz val="11"/>
        <color theme="1"/>
        <rFont val="Calibri"/>
        <family val="2"/>
        <charset val="1"/>
      </rPr>
      <t xml:space="preserve">
</t>
    </r>
  </si>
  <si>
    <t>SECTION 3- VOLATILITY OF CROPS</t>
  </si>
  <si>
    <t>Interpretation: The volatility chart shows significant variation in price fluctuations across different crops. Ladyfinger and cauliflower exhibit the highest volatility, indicating greater instability in prices, possibly due to perishability, seasonal demand, or supply fluctuations. In contrast, crops like wheat and brinjal show relatively low volatility, suggesting more stable market prices. Overall, the chart highlights that perishable vegetables tend to experience greater price instability in the agricultural supply chain.</t>
  </si>
  <si>
    <t>FARMER'S SHARE %</t>
  </si>
  <si>
    <t>Overall Avg Farmer Share %</t>
  </si>
  <si>
    <t>SECTION 4- FARMER'S SHARE</t>
  </si>
  <si>
    <t>Interpretation: The Farmer’s Share analysis shows that staple crops such as rice and wheat provide the highest share of the consumer price to farmers, indicating lower intermediary margins and more stable pricing. In contrast, perishable vegetables like brinjal, potato, and ginger show lower farmer shares, suggesting that a larger portion of the final price is absorbed by transportation, storage, and retail markups within the supply chain.</t>
  </si>
  <si>
    <t>KEY PERFORMANCE INDICATORS</t>
  </si>
  <si>
    <r>
      <t xml:space="preserve">Ginger </t>
    </r>
    <r>
      <rPr>
        <sz val="15"/>
        <rFont val="Bell MT"/>
        <family val="1"/>
      </rPr>
      <t>(78.92)</t>
    </r>
  </si>
  <si>
    <t>KEY ANOMALIES</t>
  </si>
  <si>
    <r>
      <rPr>
        <b/>
        <sz val="18"/>
        <color theme="1"/>
        <rFont val="Bell MT"/>
        <family val="1"/>
      </rPr>
      <t xml:space="preserve">Highest Markup Crop - </t>
    </r>
    <r>
      <rPr>
        <b/>
        <sz val="18"/>
        <color rgb="FFC00000"/>
        <rFont val="Bell MT"/>
        <family val="1"/>
      </rPr>
      <t>Ginger</t>
    </r>
    <r>
      <rPr>
        <sz val="18"/>
        <color theme="1"/>
        <rFont val="Bell MT"/>
        <family val="1"/>
      </rPr>
      <t xml:space="preserve">
Ginger recorded the highest overall markup due to consistently high retail prices compared to wholesale prices, especially during the KHARIF season where markups exceeded 400%. This suggests strong intermediary margins and seasonal supply shortages.
</t>
    </r>
    <r>
      <rPr>
        <b/>
        <sz val="18"/>
        <color theme="1"/>
        <rFont val="Bell MT"/>
        <family val="1"/>
      </rPr>
      <t xml:space="preserve">Lowest Markup Crop - </t>
    </r>
    <r>
      <rPr>
        <b/>
        <sz val="18"/>
        <color rgb="FFC00000"/>
        <rFont val="Bell MT"/>
        <family val="1"/>
      </rPr>
      <t>Wheat</t>
    </r>
    <r>
      <rPr>
        <sz val="18"/>
        <color theme="1"/>
        <rFont val="Bell MT"/>
        <family val="1"/>
      </rPr>
      <t xml:space="preserve">
Wheat showed the lowest markup percentages across all seasons, generally remaining below 25%. This indicates relatively stable pricing, efficient distribution, and lower supply chain costs.
</t>
    </r>
    <r>
      <rPr>
        <b/>
        <sz val="18"/>
        <color theme="1"/>
        <rFont val="Bell MT"/>
        <family val="1"/>
      </rPr>
      <t>Highest Seasonal Markup -</t>
    </r>
    <r>
      <rPr>
        <b/>
        <sz val="18"/>
        <color rgb="FFC00000"/>
        <rFont val="Bell MT"/>
        <family val="1"/>
      </rPr>
      <t xml:space="preserve"> Kharif</t>
    </r>
    <r>
      <rPr>
        <sz val="18"/>
        <color theme="1"/>
        <rFont val="Bell MT"/>
        <family val="1"/>
      </rPr>
      <t xml:space="preserve">
The Kharif season experienced the highest overall markups, mainly for perishable vegetables such as ginger, cauliflower, and brinjal. Seasonal supply fluctuations and storage limitations likely contributed to higher retail inflation.
</t>
    </r>
    <r>
      <rPr>
        <b/>
        <sz val="18"/>
        <color theme="1"/>
        <rFont val="Bell MT"/>
        <family val="1"/>
      </rPr>
      <t xml:space="preserve">Average Market Markup - </t>
    </r>
    <r>
      <rPr>
        <b/>
        <sz val="18"/>
        <color rgb="FFC00000"/>
        <rFont val="Bell MT"/>
        <family val="1"/>
      </rPr>
      <t>131.93%</t>
    </r>
    <r>
      <rPr>
        <sz val="18"/>
        <color theme="1"/>
        <rFont val="Bell MT"/>
        <family val="1"/>
      </rPr>
      <t xml:space="preserve">
The average market markup indicates that retail prices were, on average, more than double the wholesale prices across crops and seasons, reflecting transportation, storage, handling, and intermediary costs within the supply chain.
</t>
    </r>
    <r>
      <rPr>
        <b/>
        <sz val="18"/>
        <color theme="1"/>
        <rFont val="Bell MT"/>
        <family val="1"/>
      </rPr>
      <t xml:space="preserve">
Largest Price Gap – </t>
    </r>
    <r>
      <rPr>
        <b/>
        <sz val="18"/>
        <color rgb="FFC00000"/>
        <rFont val="Bell MT"/>
        <family val="1"/>
      </rPr>
      <t>Ginger (₹78.92/kg)</t>
    </r>
    <r>
      <rPr>
        <sz val="18"/>
        <color theme="1"/>
        <rFont val="Bell MT"/>
        <family val="1"/>
      </rPr>
      <t xml:space="preserve">
Ginger recorded the largest wholesale-to-retail price gap, showing a significant difference between producer and consumer prices. This highlights the impact of seasonal scarcity and high distribution costs on final retail pricing.
</t>
    </r>
    <r>
      <rPr>
        <sz val="11"/>
        <color theme="1"/>
        <rFont val="Calibri"/>
        <family val="2"/>
        <charset val="1"/>
      </rPr>
      <t xml:space="preserve">
</t>
    </r>
  </si>
  <si>
    <r>
      <rPr>
        <b/>
        <sz val="26"/>
        <color theme="0"/>
        <rFont val="Bell MT"/>
        <family val="1"/>
      </rPr>
      <t xml:space="preserve">                                                  KPI INTERPRETATION</t>
    </r>
    <r>
      <rPr>
        <sz val="16"/>
        <color theme="0"/>
        <rFont val="Bell MT"/>
        <family val="1"/>
      </rPr>
      <t xml:space="preserve">
</t>
    </r>
    <r>
      <rPr>
        <b/>
        <sz val="16"/>
        <color theme="0"/>
        <rFont val="Bell MT"/>
        <family val="1"/>
      </rPr>
      <t>Highest Markup Crop - Ginger</t>
    </r>
    <r>
      <rPr>
        <sz val="16"/>
        <color theme="0"/>
        <rFont val="Bell MT"/>
        <family val="1"/>
      </rPr>
      <t xml:space="preserve">
Ginger recorded the highest overall markup due to consistently high retail prices compared to wholesale prices, especially during the KHARIF season where markups exceeded 400%. This suggests strong intermediary margins and seasonal supply shortages.
</t>
    </r>
    <r>
      <rPr>
        <b/>
        <sz val="16"/>
        <color theme="0"/>
        <rFont val="Bell MT"/>
        <family val="1"/>
      </rPr>
      <t>Lowest Markup Crop - Wheat</t>
    </r>
    <r>
      <rPr>
        <sz val="16"/>
        <color theme="0"/>
        <rFont val="Bell MT"/>
        <family val="1"/>
      </rPr>
      <t xml:space="preserve">
Wheat showed the lowest markup percentages across all seasons, generally remaining below 25%. This indicates relatively stable pricing, efficient distribution, and lower supply chain costs.
</t>
    </r>
    <r>
      <rPr>
        <b/>
        <sz val="16"/>
        <color theme="0"/>
        <rFont val="Bell MT"/>
        <family val="1"/>
      </rPr>
      <t>Highest Seasonal Markup - Kharif</t>
    </r>
    <r>
      <rPr>
        <sz val="16"/>
        <color theme="0"/>
        <rFont val="Bell MT"/>
        <family val="1"/>
      </rPr>
      <t xml:space="preserve">
The Kharif season experienced the highest overall markups, mainly for perishable vegetables such as ginger, cauliflower, and brinjal. Seasonal supply fluctuations and storage limitations likely contributed to higher retail inflation.
</t>
    </r>
    <r>
      <rPr>
        <b/>
        <sz val="16"/>
        <color theme="0"/>
        <rFont val="Bell MT"/>
        <family val="1"/>
      </rPr>
      <t>Average Market Markup - 131.93%</t>
    </r>
    <r>
      <rPr>
        <sz val="16"/>
        <color theme="0"/>
        <rFont val="Bell MT"/>
        <family val="1"/>
      </rPr>
      <t xml:space="preserve">
The average market markup indicates that retail prices were, on average, more than double the wholesale prices across crops and seasons, reflecting transportation, storage, handling, and intermediary costs within the supply chain.
L</t>
    </r>
    <r>
      <rPr>
        <b/>
        <sz val="16"/>
        <color theme="0"/>
        <rFont val="Bell MT"/>
        <family val="1"/>
      </rPr>
      <t>argest Price Gap – Ginger (₹78.92/kg)</t>
    </r>
    <r>
      <rPr>
        <sz val="16"/>
        <color theme="0"/>
        <rFont val="Bell MT"/>
        <family val="1"/>
      </rPr>
      <t xml:space="preserve">
Ginger recorded the largest wholesale-to-retail price gap, showing a significant difference between producer and consumer prices. This highlights the impact of seasonal scarcity and high distribution costs on final retail pricing.
</t>
    </r>
  </si>
  <si>
    <t>POLICY RECOMMENDATIONS</t>
  </si>
  <si>
    <r>
      <rPr>
        <b/>
        <sz val="16"/>
        <color theme="1"/>
        <rFont val="Bell MT"/>
        <family val="1"/>
      </rPr>
      <t xml:space="preserve">                                                                                                                                                                                                                                                                          </t>
    </r>
    <r>
      <rPr>
        <b/>
        <sz val="17"/>
        <color theme="1"/>
        <rFont val="Bell MT"/>
        <family val="1"/>
      </rPr>
      <t>• Strengthen Cold Chain Infrastructure</t>
    </r>
    <r>
      <rPr>
        <sz val="17"/>
        <color theme="1"/>
        <rFont val="Bell MT"/>
        <family val="1"/>
      </rPr>
      <t xml:space="preserve">
The government should expand the National Centre for Cold Chain Development (NCCD) scheme to support last-mile refrigerated transport, pre-cooling facilities, and subsidised cold storage access at Azadpur Mandi. Improving cold-chain infrastructure would reduce spoilage losses and retail markups for highly perishable crops such as ladyfinger, brinjal, and cauliflower, which recorded some of the highest average markups in the dataset.
                                                                                                                                                                                                                                                                          </t>
    </r>
    <r>
      <rPr>
        <b/>
        <sz val="17"/>
        <color theme="1"/>
        <rFont val="Bell MT"/>
        <family val="1"/>
      </rPr>
      <t>• Improve Price Transparency Through Digital Market Systems</t>
    </r>
    <r>
      <rPr>
        <sz val="17"/>
        <color theme="1"/>
        <rFont val="Bell MT"/>
        <family val="1"/>
      </rPr>
      <t xml:space="preserve">
The e-NAM (National Agriculture Market) platform should be made mandatory for large mandi transactions, supported by real-time price displays at mandi gates and retail markets. SMS-based daily price alerts and publicly accessible digital dashboards would reduce information asymmetry between farmers, traders, and consumers. Greater transparency could help reduce excessive retail markups and improve market efficiency.
                                                                                                                                                                                                                                                                          </t>
    </r>
    <r>
      <rPr>
        <b/>
        <sz val="17"/>
        <color theme="1"/>
        <rFont val="Bell MT"/>
        <family val="1"/>
      </rPr>
      <t>• Promote Direct Procurement and Reduce Intermediaries</t>
    </r>
    <r>
      <rPr>
        <sz val="17"/>
        <color theme="1"/>
        <rFont val="Bell MT"/>
        <family val="1"/>
      </rPr>
      <t xml:space="preserve">
Models such as SAFAL and direct farm-to-market procurement networks should be expanded to reduce dependence on multiple intermediaries in the supply chain. Faster implementation of APMC reforms and direct procurement pilots for crops such as ginger and brinjal could improve farmer earnings and reduce the gap between wholesale and retail prices.
                                                                                                                                                                                                                                                                               • </t>
    </r>
    <r>
      <rPr>
        <b/>
        <sz val="17"/>
        <color theme="1"/>
        <rFont val="Bell MT"/>
        <family val="1"/>
      </rPr>
      <t>Reduce Transportation and Logistics Costs</t>
    </r>
    <r>
      <rPr>
        <sz val="17"/>
        <color theme="1"/>
        <rFont val="Bell MT"/>
        <family val="1"/>
      </rPr>
      <t xml:space="preserve">
The Delhi government should introduce regulated freight support measures for vegetable transport from Azadpur Mandi to retail markets. Subsidised permits for vegetable carriers, improved early-morning transport access, and dedicated vegetable transport corridors could lower spoilage losses, reduce delivery delays, and minimise transport-driven retail inflation for perishable commodities.</t>
    </r>
  </si>
  <si>
    <r>
      <rPr>
        <b/>
        <sz val="17"/>
        <color theme="1"/>
        <rFont val="Bell MT"/>
        <family val="1"/>
      </rPr>
      <t xml:space="preserve">                                                                                                                                                                                                                                                                          • Onion ZAID Price Anomaly</t>
    </r>
    <r>
      <rPr>
        <sz val="17"/>
        <color theme="1"/>
        <rFont val="Bell MT"/>
        <family val="1"/>
      </rPr>
      <t xml:space="preserve">
On 2-Apr-2026, onion retail price dropped sharply to ₹16/kg compared to ₹30/kg on the surrounding ZAID dates, indicating a sudden short-term market fluctuation or temporary oversupply.
</t>
    </r>
    <r>
      <rPr>
        <b/>
        <sz val="17"/>
        <color theme="1"/>
        <rFont val="Bell MT"/>
        <family val="1"/>
      </rPr>
      <t>• Extreme Ginger KHARIF Markups</t>
    </r>
    <r>
      <rPr>
        <sz val="17"/>
        <color theme="1"/>
        <rFont val="Bell MT"/>
        <family val="1"/>
      </rPr>
      <t xml:space="preserve">
Ginger recorded exceptionally high markups during the KHARIF season, ranging from 273% to 445%, likely due to off-season availability, supply shortages, and high distribution costs.
</t>
    </r>
    <r>
      <rPr>
        <b/>
        <sz val="17"/>
        <color theme="1"/>
        <rFont val="Bell MT"/>
        <family val="1"/>
      </rPr>
      <t>• Ladyfinger Wholesale Price Spike</t>
    </r>
    <r>
      <rPr>
        <sz val="17"/>
        <color theme="1"/>
        <rFont val="Bell MT"/>
        <family val="1"/>
      </rPr>
      <t xml:space="preserve">
During the RABI season, ladyfinger wholesale price increased sharply to ₹77/kg while retail price remained ₹110/kg, resulting in unusually low markup compared to other observations and indicating possible market inconsistency.
</t>
    </r>
    <r>
      <rPr>
        <b/>
        <sz val="17"/>
        <color theme="1"/>
        <rFont val="Bell MT"/>
        <family val="1"/>
      </rPr>
      <t>• High Markups in Perishable Crops</t>
    </r>
    <r>
      <rPr>
        <sz val="17"/>
        <color theme="1"/>
        <rFont val="Bell MT"/>
        <family val="1"/>
      </rPr>
      <t xml:space="preserve">
Crops with shelf life below 7 days consistently showed higher markup percentages than long shelf-life commodities, suggesting that perishability and inadequate cold-chain infrastructure significantly increase retail prices.
</t>
    </r>
    <r>
      <rPr>
        <b/>
        <sz val="17"/>
        <color theme="1"/>
        <rFont val="Bell MT"/>
        <family val="1"/>
      </rPr>
      <t>• Stable Commodity Pricing</t>
    </r>
    <r>
      <rPr>
        <sz val="17"/>
        <color theme="1"/>
        <rFont val="Bell MT"/>
        <family val="1"/>
      </rPr>
      <t xml:space="preserve">
Staple crops such as rice and wheat maintained low markup percentages and high farmer share values across all seasons, indicating relatively stable and efficient supply chains.</t>
    </r>
  </si>
  <si>
    <t>Agricultural Supply Chain &amp; Price Spread Analysis: Azadpur Mandi</t>
  </si>
  <si>
    <r>
      <rPr>
        <b/>
        <sz val="24"/>
        <color theme="1"/>
        <rFont val="Bell MT"/>
        <family val="1"/>
      </rPr>
      <t>Data Source</t>
    </r>
    <r>
      <rPr>
        <sz val="24"/>
        <color theme="1"/>
        <rFont val="Bell MT"/>
        <family val="1"/>
      </rPr>
      <t>: Agmarknet and FSD Delhi market price data; calculations and analysis by the author.</t>
    </r>
  </si>
</sst>
</file>

<file path=xl/styles.xml><?xml version="1.0" encoding="utf-8"?>
<styleSheet xmlns="http://schemas.openxmlformats.org/spreadsheetml/2006/main">
  <numFmts count="5">
    <numFmt numFmtId="164" formatCode="\₹#,##0.00"/>
    <numFmt numFmtId="165" formatCode="_ [$₹-446]\ * #,##0.00_ ;_ [$₹-446]\ * \-#,##0.00_ ;_ [$₹-446]\ * &quot;-&quot;??_ ;_ @_ "/>
    <numFmt numFmtId="166" formatCode="_ [$₹-445]\ * #,##0.00_ ;_ [$₹-445]\ * \-#,##0.00_ ;_ [$₹-445]\ * &quot;-&quot;??_ ;_ @_ "/>
    <numFmt numFmtId="167" formatCode="_-[$₹-44F]* #,##0.00_-;\-[$₹-44F]* #,##0.00_-;_-[$₹-44F]* &quot;-&quot;??_-;_-@_-"/>
    <numFmt numFmtId="173" formatCode="0.000"/>
  </numFmts>
  <fonts count="43">
    <font>
      <sz val="11"/>
      <color theme="1"/>
      <name val="Calibri"/>
      <family val="2"/>
      <charset val="1"/>
    </font>
    <font>
      <b/>
      <sz val="14"/>
      <color rgb="FFFFFFFF"/>
      <name val="Arial"/>
      <charset val="1"/>
    </font>
    <font>
      <b/>
      <sz val="9"/>
      <color rgb="FFFFFFFF"/>
      <name val="Arial"/>
      <charset val="1"/>
    </font>
    <font>
      <b/>
      <sz val="13"/>
      <color rgb="FFFFFFFF"/>
      <name val="Arial"/>
      <charset val="1"/>
    </font>
    <font>
      <b/>
      <sz val="12"/>
      <color rgb="FFFFFFFF"/>
      <name val="Arial"/>
      <charset val="1"/>
    </font>
    <font>
      <sz val="9"/>
      <color rgb="FF000000"/>
      <name val="Arial"/>
      <charset val="1"/>
    </font>
    <font>
      <i/>
      <sz val="9"/>
      <color rgb="FF333333"/>
      <name val="Arial"/>
      <charset val="1"/>
    </font>
    <font>
      <b/>
      <sz val="12"/>
      <color rgb="FFFFFFFF"/>
      <name val="Bell MT"/>
      <family val="1"/>
    </font>
    <font>
      <sz val="12"/>
      <color theme="0"/>
      <name val="Bell MT"/>
      <family val="1"/>
    </font>
    <font>
      <sz val="12"/>
      <color theme="1"/>
      <name val="Calibri"/>
      <family val="2"/>
      <charset val="1"/>
    </font>
    <font>
      <b/>
      <sz val="13"/>
      <color rgb="FFFFFFFF"/>
      <name val="Bell MT"/>
      <family val="1"/>
    </font>
    <font>
      <sz val="9"/>
      <color rgb="FFFFFFFF"/>
      <name val="Arial"/>
      <family val="2"/>
    </font>
    <font>
      <sz val="9"/>
      <color rgb="FFFFFFFF"/>
      <name val="Calibri"/>
      <family val="2"/>
      <scheme val="minor"/>
    </font>
    <font>
      <sz val="11"/>
      <color theme="1"/>
      <name val="Calibri"/>
      <family val="2"/>
      <charset val="1"/>
    </font>
    <font>
      <sz val="9"/>
      <color rgb="FF000000"/>
      <name val="Arial"/>
      <family val="2"/>
    </font>
    <font>
      <sz val="11"/>
      <color theme="0"/>
      <name val="Calibri"/>
      <family val="2"/>
      <charset val="1"/>
    </font>
    <font>
      <sz val="14"/>
      <color theme="1"/>
      <name val="Bell MT"/>
      <family val="1"/>
    </font>
    <font>
      <sz val="14"/>
      <color theme="0"/>
      <name val="Bell MT"/>
      <family val="1"/>
    </font>
    <font>
      <strike/>
      <sz val="9"/>
      <color rgb="FFFFFFFF"/>
      <name val="Arial"/>
      <family val="2"/>
    </font>
    <font>
      <sz val="9"/>
      <name val="Arial"/>
      <family val="2"/>
    </font>
    <font>
      <sz val="16"/>
      <color theme="1"/>
      <name val="Bell MT"/>
      <family val="1"/>
    </font>
    <font>
      <sz val="18"/>
      <color theme="1"/>
      <name val="Bell MT"/>
      <family val="1"/>
    </font>
    <font>
      <sz val="18"/>
      <color theme="0"/>
      <name val="Bell MT"/>
      <family val="1"/>
    </font>
    <font>
      <sz val="11"/>
      <color theme="0"/>
      <name val="Bell MT"/>
      <family val="1"/>
    </font>
    <font>
      <b/>
      <sz val="16"/>
      <color theme="1"/>
      <name val="Bell MT"/>
      <family val="1"/>
    </font>
    <font>
      <sz val="20"/>
      <color theme="1"/>
      <name val="Bell MT"/>
      <family val="1"/>
    </font>
    <font>
      <sz val="16"/>
      <color theme="0"/>
      <name val="Bell MT"/>
      <family val="1"/>
    </font>
    <font>
      <sz val="15"/>
      <color rgb="FFFFFFFF"/>
      <name val="Bell MT"/>
      <family val="1"/>
    </font>
    <font>
      <sz val="15"/>
      <color rgb="FF000000"/>
      <name val="Bell MT"/>
      <family val="1"/>
    </font>
    <font>
      <sz val="15"/>
      <color theme="0"/>
      <name val="Bell MT"/>
      <family val="1"/>
    </font>
    <font>
      <sz val="15"/>
      <color theme="1"/>
      <name val="Bell MT"/>
      <family val="1"/>
    </font>
    <font>
      <sz val="15"/>
      <name val="Bell MT"/>
      <family val="1"/>
    </font>
    <font>
      <b/>
      <sz val="24"/>
      <color theme="1"/>
      <name val="Bell MT"/>
      <family val="1"/>
    </font>
    <font>
      <b/>
      <sz val="18"/>
      <color theme="1"/>
      <name val="Bell MT"/>
      <family val="1"/>
    </font>
    <font>
      <b/>
      <sz val="18"/>
      <color rgb="FFC00000"/>
      <name val="Bell MT"/>
      <family val="1"/>
    </font>
    <font>
      <b/>
      <sz val="26"/>
      <color theme="0"/>
      <name val="Bell MT"/>
      <family val="1"/>
    </font>
    <font>
      <b/>
      <sz val="16"/>
      <color theme="0"/>
      <name val="Bell MT"/>
      <family val="1"/>
    </font>
    <font>
      <sz val="24"/>
      <color theme="1"/>
      <name val="Bell MT"/>
      <family val="1"/>
    </font>
    <font>
      <sz val="28"/>
      <color theme="1"/>
      <name val="Bell MT"/>
      <family val="1"/>
    </font>
    <font>
      <sz val="22"/>
      <color theme="0"/>
      <name val="Bell MT"/>
      <family val="1"/>
    </font>
    <font>
      <b/>
      <sz val="17"/>
      <color theme="1"/>
      <name val="Bell MT"/>
      <family val="1"/>
    </font>
    <font>
      <sz val="17"/>
      <color theme="1"/>
      <name val="Bell MT"/>
      <family val="1"/>
    </font>
    <font>
      <b/>
      <sz val="14"/>
      <color rgb="FFFFFFFF"/>
      <name val="Arial"/>
      <family val="2"/>
    </font>
  </fonts>
  <fills count="36">
    <fill>
      <patternFill patternType="none"/>
    </fill>
    <fill>
      <patternFill patternType="gray125"/>
    </fill>
    <fill>
      <patternFill patternType="solid">
        <fgColor rgb="FF2C3E50"/>
        <bgColor rgb="FF333333"/>
      </patternFill>
    </fill>
    <fill>
      <patternFill patternType="solid">
        <fgColor rgb="FF2E7D52"/>
        <bgColor rgb="FF1A5C38"/>
      </patternFill>
    </fill>
    <fill>
      <patternFill patternType="solid">
        <fgColor rgb="FFFFFFFF"/>
        <bgColor rgb="FFFFFFF0"/>
      </patternFill>
    </fill>
    <fill>
      <patternFill patternType="solid">
        <fgColor rgb="FF1A5C38"/>
        <bgColor rgb="FF1A5276"/>
      </patternFill>
    </fill>
    <fill>
      <patternFill patternType="solid">
        <fgColor rgb="FFD6EFE0"/>
        <bgColor rgb="FFD6EAF8"/>
      </patternFill>
    </fill>
    <fill>
      <patternFill patternType="solid">
        <fgColor rgb="FFE8752A"/>
        <bgColor rgb="FFFF8080"/>
      </patternFill>
    </fill>
    <fill>
      <patternFill patternType="solid">
        <fgColor rgb="FFFDEBD0"/>
        <bgColor rgb="FFFADBD8"/>
      </patternFill>
    </fill>
    <fill>
      <patternFill patternType="solid">
        <fgColor rgb="FFFFFFF0"/>
        <bgColor rgb="FFFFFFFF"/>
      </patternFill>
    </fill>
    <fill>
      <patternFill patternType="solid">
        <fgColor theme="6" tint="-0.499984740745262"/>
        <bgColor indexed="64"/>
      </patternFill>
    </fill>
    <fill>
      <patternFill patternType="solid">
        <fgColor theme="5" tint="-0.249977111117893"/>
        <bgColor rgb="FF1A5C38"/>
      </patternFill>
    </fill>
    <fill>
      <patternFill patternType="solid">
        <fgColor theme="5" tint="-0.249977111117893"/>
        <bgColor indexed="64"/>
      </patternFill>
    </fill>
    <fill>
      <patternFill patternType="solid">
        <fgColor theme="6" tint="-0.499984740745262"/>
        <bgColor rgb="FF333333"/>
      </patternFill>
    </fill>
    <fill>
      <patternFill patternType="solid">
        <fgColor theme="6" tint="-0.499984740745262"/>
        <bgColor rgb="FFFADBD8"/>
      </patternFill>
    </fill>
    <fill>
      <patternFill patternType="solid">
        <fgColor theme="6" tint="-0.499984740745262"/>
        <bgColor rgb="FFFFFFF0"/>
      </patternFill>
    </fill>
    <fill>
      <patternFill patternType="solid">
        <fgColor theme="2" tint="-0.249977111117893"/>
        <bgColor rgb="FFFADBD8"/>
      </patternFill>
    </fill>
    <fill>
      <patternFill patternType="solid">
        <fgColor theme="2" tint="-0.249977111117893"/>
        <bgColor rgb="FFFFFFF0"/>
      </patternFill>
    </fill>
    <fill>
      <patternFill patternType="solid">
        <fgColor theme="2" tint="-0.249977111117893"/>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2"/>
        <bgColor indexed="64"/>
      </patternFill>
    </fill>
    <fill>
      <patternFill patternType="solid">
        <fgColor rgb="FF4A7A5C"/>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39997558519241921"/>
        <bgColor rgb="FFFAFAFA"/>
      </patternFill>
    </fill>
    <fill>
      <patternFill patternType="solid">
        <fgColor theme="6" tint="0.39997558519241921"/>
        <bgColor rgb="FFFFFFF0"/>
      </patternFill>
    </fill>
    <fill>
      <patternFill patternType="solid">
        <fgColor theme="1" tint="0.249977111117893"/>
        <bgColor indexed="64"/>
      </patternFill>
    </fill>
    <fill>
      <patternFill patternType="solid">
        <fgColor theme="6"/>
        <bgColor indexed="64"/>
      </patternFill>
    </fill>
  </fills>
  <borders count="12">
    <border>
      <left/>
      <right/>
      <top/>
      <bottom/>
      <diagonal/>
    </border>
    <border>
      <left style="thin">
        <color rgb="FFB0BEC5"/>
      </left>
      <right style="thin">
        <color rgb="FFB0BEC5"/>
      </right>
      <top style="thin">
        <color rgb="FFB0BEC5"/>
      </top>
      <bottom style="thin">
        <color rgb="FFB0BEC5"/>
      </bottom>
      <diagonal/>
    </border>
    <border>
      <left style="thin">
        <color rgb="FFB0BEC5"/>
      </left>
      <right style="thin">
        <color rgb="FFB0BEC5"/>
      </right>
      <top/>
      <bottom/>
      <diagonal/>
    </border>
    <border>
      <left/>
      <right/>
      <top/>
      <bottom style="thin">
        <color rgb="FFB0BEC5"/>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0BEC5"/>
      </left>
      <right style="thin">
        <color rgb="FFB0BEC5"/>
      </right>
      <top style="thin">
        <color rgb="FFB0BEC5"/>
      </top>
      <bottom/>
      <diagonal/>
    </border>
  </borders>
  <cellStyleXfs count="2">
    <xf numFmtId="0" fontId="0" fillId="0" borderId="0"/>
    <xf numFmtId="9" fontId="13" fillId="0" borderId="0" applyFont="0" applyFill="0" applyBorder="0" applyAlignment="0" applyProtection="0"/>
  </cellStyleXfs>
  <cellXfs count="98">
    <xf numFmtId="0" fontId="0" fillId="0" borderId="0" xfId="0"/>
    <xf numFmtId="0" fontId="5"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2" fillId="7" borderId="0" xfId="0" applyFont="1" applyFill="1" applyBorder="1" applyAlignment="1">
      <alignment horizontal="center" vertical="center" wrapText="1"/>
    </xf>
    <xf numFmtId="164" fontId="2" fillId="7"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0" fontId="6" fillId="9" borderId="0" xfId="0" applyFont="1" applyFill="1" applyBorder="1" applyAlignment="1">
      <alignment horizontal="left" vertical="center" wrapText="1"/>
    </xf>
    <xf numFmtId="0" fontId="0" fillId="0" borderId="0" xfId="0" applyAlignment="1">
      <alignment vertical="center"/>
    </xf>
    <xf numFmtId="0" fontId="0" fillId="0" borderId="0" xfId="0" applyFont="1"/>
    <xf numFmtId="0" fontId="12" fillId="2"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0" fillId="0" borderId="0" xfId="0" applyAlignment="1">
      <alignment wrapText="1"/>
    </xf>
    <xf numFmtId="10" fontId="5" fillId="4" borderId="1" xfId="1" applyNumberFormat="1" applyFont="1" applyFill="1" applyBorder="1" applyAlignment="1">
      <alignment horizontal="center" vertical="center" wrapText="1"/>
    </xf>
    <xf numFmtId="10" fontId="2" fillId="7" borderId="1" xfId="1" applyNumberFormat="1" applyFont="1" applyFill="1" applyBorder="1" applyAlignment="1">
      <alignment horizontal="center" vertical="center" wrapText="1"/>
    </xf>
    <xf numFmtId="9" fontId="5" fillId="8" borderId="1" xfId="1" applyFont="1" applyFill="1" applyBorder="1" applyAlignment="1">
      <alignment horizontal="center" vertical="center" wrapText="1"/>
    </xf>
    <xf numFmtId="0" fontId="0" fillId="0" borderId="0" xfId="0"/>
    <xf numFmtId="10" fontId="5" fillId="8" borderId="1" xfId="1" applyNumberFormat="1" applyFont="1" applyFill="1" applyBorder="1" applyAlignment="1">
      <alignment horizontal="center" vertical="center" wrapText="1"/>
    </xf>
    <xf numFmtId="0" fontId="14"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165" fontId="5" fillId="8" borderId="1" xfId="0" applyNumberFormat="1" applyFont="1" applyFill="1" applyBorder="1" applyAlignment="1">
      <alignment horizontal="center" vertical="center" wrapText="1"/>
    </xf>
    <xf numFmtId="165" fontId="5" fillId="8" borderId="1" xfId="0" applyNumberFormat="1" applyFont="1" applyFill="1" applyBorder="1" applyAlignment="1">
      <alignment vertical="center" wrapText="1"/>
    </xf>
    <xf numFmtId="166" fontId="5" fillId="8" borderId="1" xfId="0" applyNumberFormat="1" applyFont="1" applyFill="1" applyBorder="1" applyAlignment="1">
      <alignment horizontal="center" vertical="center" wrapText="1"/>
    </xf>
    <xf numFmtId="0" fontId="1" fillId="2" borderId="0" xfId="0" applyFont="1" applyFill="1" applyBorder="1" applyAlignment="1">
      <alignment horizontal="center" vertical="center" wrapText="1"/>
    </xf>
    <xf numFmtId="0" fontId="10" fillId="5" borderId="0" xfId="0" applyFont="1" applyFill="1" applyBorder="1" applyAlignment="1">
      <alignment horizontal="center" vertical="center" wrapText="1"/>
    </xf>
    <xf numFmtId="0" fontId="3" fillId="5" borderId="0" xfId="0" applyFont="1" applyFill="1" applyBorder="1" applyAlignment="1">
      <alignment horizontal="center" vertical="center" wrapText="1"/>
    </xf>
    <xf numFmtId="0" fontId="7" fillId="11" borderId="0" xfId="0" applyFont="1" applyFill="1" applyBorder="1" applyAlignment="1">
      <alignment horizontal="center" vertical="center" wrapText="1"/>
    </xf>
    <xf numFmtId="0" fontId="4" fillId="11" borderId="0" xfId="0" applyFont="1" applyFill="1" applyBorder="1" applyAlignment="1">
      <alignment horizontal="center" vertical="center" wrapText="1"/>
    </xf>
    <xf numFmtId="0" fontId="8" fillId="12" borderId="3" xfId="0" applyFont="1" applyFill="1" applyBorder="1" applyAlignment="1">
      <alignment horizontal="center" vertical="center"/>
    </xf>
    <xf numFmtId="0" fontId="9" fillId="12" borderId="3" xfId="0" applyFont="1" applyFill="1" applyBorder="1" applyAlignment="1">
      <alignment horizontal="center" vertical="center"/>
    </xf>
    <xf numFmtId="0" fontId="8" fillId="12" borderId="0" xfId="0" applyFont="1" applyFill="1" applyAlignment="1">
      <alignment horizontal="center" vertical="center" wrapText="1"/>
    </xf>
    <xf numFmtId="0" fontId="0" fillId="12" borderId="0" xfId="0" applyFill="1" applyAlignment="1">
      <alignment horizontal="center" vertical="center" wrapText="1"/>
    </xf>
    <xf numFmtId="0" fontId="0" fillId="0" borderId="0" xfId="0"/>
    <xf numFmtId="0" fontId="0" fillId="0" borderId="0" xfId="0" applyAlignment="1"/>
    <xf numFmtId="0" fontId="15" fillId="24" borderId="5" xfId="0" applyFont="1" applyFill="1" applyBorder="1"/>
    <xf numFmtId="0" fontId="15" fillId="28" borderId="5" xfId="0" applyFont="1" applyFill="1" applyBorder="1"/>
    <xf numFmtId="173" fontId="0" fillId="29" borderId="5" xfId="0" applyNumberFormat="1" applyFill="1" applyBorder="1"/>
    <xf numFmtId="9" fontId="0" fillId="0" borderId="0" xfId="0" applyNumberFormat="1" applyAlignment="1">
      <alignment wrapText="1"/>
    </xf>
    <xf numFmtId="0" fontId="15" fillId="23" borderId="5" xfId="0" applyFont="1" applyFill="1" applyBorder="1"/>
    <xf numFmtId="0" fontId="19" fillId="32" borderId="5" xfId="0" applyFont="1" applyFill="1" applyBorder="1"/>
    <xf numFmtId="9" fontId="0" fillId="26" borderId="5" xfId="1" applyFont="1" applyFill="1" applyBorder="1"/>
    <xf numFmtId="0" fontId="19" fillId="33" borderId="5" xfId="0" applyFont="1" applyFill="1" applyBorder="1"/>
    <xf numFmtId="0" fontId="0" fillId="26" borderId="5" xfId="0" applyFill="1" applyBorder="1"/>
    <xf numFmtId="0" fontId="16" fillId="31" borderId="7" xfId="0" applyFont="1" applyFill="1" applyBorder="1" applyAlignment="1">
      <alignment horizontal="left" vertical="center" wrapText="1"/>
    </xf>
    <xf numFmtId="0" fontId="16" fillId="31" borderId="9" xfId="0" applyFont="1" applyFill="1" applyBorder="1" applyAlignment="1">
      <alignment horizontal="left" vertical="center" wrapText="1"/>
    </xf>
    <xf numFmtId="0" fontId="16" fillId="31" borderId="6" xfId="0" applyFont="1" applyFill="1" applyBorder="1" applyAlignment="1"/>
    <xf numFmtId="0" fontId="16" fillId="31" borderId="0" xfId="0" applyFont="1" applyFill="1" applyBorder="1" applyAlignment="1"/>
    <xf numFmtId="0" fontId="16" fillId="31" borderId="4" xfId="0" applyFont="1" applyFill="1" applyBorder="1" applyAlignment="1"/>
    <xf numFmtId="0" fontId="16" fillId="31" borderId="5" xfId="0" applyFont="1" applyFill="1" applyBorder="1" applyAlignment="1">
      <alignment horizontal="center" vertical="center" wrapText="1"/>
    </xf>
    <xf numFmtId="0" fontId="20" fillId="31" borderId="5" xfId="0" applyFont="1" applyFill="1" applyBorder="1" applyAlignment="1">
      <alignment horizontal="center" vertical="center" wrapText="1"/>
    </xf>
    <xf numFmtId="0" fontId="0" fillId="31" borderId="5" xfId="0" applyFill="1" applyBorder="1" applyAlignment="1">
      <alignment horizontal="center" vertical="center" wrapText="1"/>
    </xf>
    <xf numFmtId="0" fontId="11" fillId="3" borderId="11" xfId="0" applyFont="1" applyFill="1" applyBorder="1" applyAlignment="1">
      <alignment horizontal="center" vertical="center" wrapText="1"/>
    </xf>
    <xf numFmtId="0" fontId="0" fillId="30" borderId="5" xfId="0" applyFill="1" applyBorder="1"/>
    <xf numFmtId="0" fontId="23" fillId="34" borderId="5" xfId="0" applyFont="1" applyFill="1" applyBorder="1" applyAlignment="1">
      <alignment horizontal="center" vertical="center" wrapText="1"/>
    </xf>
    <xf numFmtId="0" fontId="23" fillId="34" borderId="5" xfId="0" applyFont="1" applyFill="1" applyBorder="1" applyAlignment="1">
      <alignment horizontal="center" vertical="center" wrapText="1"/>
    </xf>
    <xf numFmtId="0" fontId="25" fillId="30" borderId="5" xfId="0" applyFont="1" applyFill="1" applyBorder="1" applyAlignment="1">
      <alignment wrapText="1"/>
    </xf>
    <xf numFmtId="10" fontId="25" fillId="0" borderId="5" xfId="0" applyNumberFormat="1" applyFont="1" applyBorder="1" applyAlignment="1">
      <alignment horizontal="center" wrapText="1"/>
    </xf>
    <xf numFmtId="0" fontId="8" fillId="12" borderId="5" xfId="0" applyFont="1" applyFill="1" applyBorder="1" applyAlignment="1">
      <alignment horizontal="center" vertical="center" wrapText="1"/>
    </xf>
    <xf numFmtId="0" fontId="27" fillId="13" borderId="5" xfId="0" applyFont="1" applyFill="1" applyBorder="1" applyAlignment="1">
      <alignment horizontal="center" vertical="center" wrapText="1"/>
    </xf>
    <xf numFmtId="0" fontId="28" fillId="17" borderId="5" xfId="0" applyFont="1" applyFill="1" applyBorder="1" applyAlignment="1">
      <alignment horizontal="center" vertical="center" wrapText="1"/>
    </xf>
    <xf numFmtId="0" fontId="29" fillId="14" borderId="5" xfId="0" applyFont="1" applyFill="1" applyBorder="1" applyAlignment="1">
      <alignment horizontal="center" vertical="center" wrapText="1"/>
    </xf>
    <xf numFmtId="0" fontId="28" fillId="16" borderId="5" xfId="0" applyFont="1" applyFill="1" applyBorder="1" applyAlignment="1">
      <alignment horizontal="center" vertical="center" wrapText="1"/>
    </xf>
    <xf numFmtId="0" fontId="29" fillId="15" borderId="5" xfId="0" applyFont="1" applyFill="1" applyBorder="1" applyAlignment="1">
      <alignment horizontal="center" vertical="center" wrapText="1"/>
    </xf>
    <xf numFmtId="0" fontId="28" fillId="15" borderId="5" xfId="0" applyFont="1" applyFill="1" applyBorder="1" applyAlignment="1">
      <alignment horizontal="center" vertical="center" wrapText="1"/>
    </xf>
    <xf numFmtId="0" fontId="30" fillId="18" borderId="5" xfId="0" applyFont="1" applyFill="1" applyBorder="1" applyAlignment="1">
      <alignment horizontal="center"/>
    </xf>
    <xf numFmtId="0" fontId="28" fillId="14" borderId="5" xfId="0" applyFont="1" applyFill="1" applyBorder="1" applyAlignment="1">
      <alignment horizontal="center" vertical="center" wrapText="1"/>
    </xf>
    <xf numFmtId="10" fontId="30" fillId="18" borderId="5" xfId="0" applyNumberFormat="1" applyFont="1" applyFill="1" applyBorder="1" applyAlignment="1">
      <alignment horizontal="center"/>
    </xf>
    <xf numFmtId="0" fontId="29" fillId="10" borderId="5" xfId="0" applyFont="1" applyFill="1" applyBorder="1" applyAlignment="1">
      <alignment horizontal="center" vertical="center" wrapText="1"/>
    </xf>
    <xf numFmtId="167" fontId="30" fillId="18" borderId="5" xfId="0" applyNumberFormat="1" applyFont="1" applyFill="1" applyBorder="1" applyAlignment="1">
      <alignment horizontal="center"/>
    </xf>
    <xf numFmtId="0" fontId="0" fillId="0" borderId="0" xfId="0" applyAlignment="1">
      <alignment horizontal="left" vertical="top"/>
    </xf>
    <xf numFmtId="0" fontId="20" fillId="27" borderId="5" xfId="0" applyFont="1" applyFill="1" applyBorder="1" applyAlignment="1">
      <alignment horizontal="left" vertical="top" wrapText="1"/>
    </xf>
    <xf numFmtId="0" fontId="0" fillId="35" borderId="5" xfId="0" applyFill="1" applyBorder="1" applyAlignment="1">
      <alignment horizontal="center"/>
    </xf>
    <xf numFmtId="0" fontId="22" fillId="12" borderId="5" xfId="0" applyFont="1" applyFill="1" applyBorder="1" applyAlignment="1">
      <alignment horizontal="center" wrapText="1"/>
    </xf>
    <xf numFmtId="0" fontId="15" fillId="12" borderId="5" xfId="0" applyFont="1" applyFill="1" applyBorder="1" applyAlignment="1">
      <alignment horizontal="center" wrapText="1"/>
    </xf>
    <xf numFmtId="0" fontId="17" fillId="12" borderId="5" xfId="0" applyFont="1" applyFill="1" applyBorder="1" applyAlignment="1">
      <alignment horizontal="center" vertical="center" wrapText="1"/>
    </xf>
    <xf numFmtId="0" fontId="17" fillId="12" borderId="5" xfId="0" applyFont="1" applyFill="1" applyBorder="1" applyAlignment="1">
      <alignment horizontal="center" wrapText="1"/>
    </xf>
    <xf numFmtId="0" fontId="0" fillId="12" borderId="5" xfId="0" applyFill="1" applyBorder="1" applyAlignment="1">
      <alignment horizontal="center" wrapText="1"/>
    </xf>
    <xf numFmtId="0" fontId="0" fillId="12" borderId="5" xfId="0" applyFill="1" applyBorder="1" applyAlignment="1">
      <alignment horizontal="center" vertical="center" wrapText="1"/>
    </xf>
    <xf numFmtId="0" fontId="17" fillId="12" borderId="5" xfId="0" applyFont="1" applyFill="1" applyBorder="1" applyAlignment="1">
      <alignment horizontal="center"/>
    </xf>
    <xf numFmtId="0" fontId="0" fillId="12" borderId="5" xfId="0" applyFill="1" applyBorder="1" applyAlignment="1">
      <alignment horizontal="center"/>
    </xf>
    <xf numFmtId="9" fontId="0" fillId="30" borderId="5" xfId="1" applyFont="1" applyFill="1" applyBorder="1"/>
    <xf numFmtId="0" fontId="0" fillId="19" borderId="7" xfId="0" applyFill="1" applyBorder="1" applyAlignment="1">
      <alignment horizontal="left" vertical="top" wrapText="1"/>
    </xf>
    <xf numFmtId="0" fontId="0" fillId="19" borderId="0" xfId="0" applyFill="1" applyBorder="1" applyAlignment="1">
      <alignment horizontal="left" vertical="top"/>
    </xf>
    <xf numFmtId="0" fontId="0" fillId="19" borderId="8" xfId="0" applyFill="1" applyBorder="1" applyAlignment="1">
      <alignment horizontal="left" vertical="top"/>
    </xf>
    <xf numFmtId="0" fontId="0" fillId="19" borderId="7" xfId="0" applyFill="1" applyBorder="1" applyAlignment="1">
      <alignment horizontal="left" vertical="top"/>
    </xf>
    <xf numFmtId="0" fontId="0" fillId="19" borderId="9" xfId="0" applyFill="1" applyBorder="1" applyAlignment="1">
      <alignment horizontal="left" vertical="top"/>
    </xf>
    <xf numFmtId="0" fontId="0" fillId="19" borderId="4" xfId="0" applyFill="1" applyBorder="1" applyAlignment="1">
      <alignment horizontal="left" vertical="top"/>
    </xf>
    <xf numFmtId="0" fontId="0" fillId="19" borderId="10" xfId="0" applyFill="1" applyBorder="1" applyAlignment="1">
      <alignment horizontal="left" vertical="top"/>
    </xf>
    <xf numFmtId="0" fontId="26" fillId="25" borderId="5" xfId="0" applyFont="1" applyFill="1" applyBorder="1" applyAlignment="1">
      <alignment horizontal="left" vertical="center" wrapText="1"/>
    </xf>
    <xf numFmtId="0" fontId="38" fillId="35" borderId="5" xfId="0" applyFont="1" applyFill="1" applyBorder="1" applyAlignment="1">
      <alignment horizontal="center"/>
    </xf>
    <xf numFmtId="0" fontId="0" fillId="22" borderId="5" xfId="0" applyFill="1" applyBorder="1" applyAlignment="1">
      <alignment horizontal="center"/>
    </xf>
    <xf numFmtId="0" fontId="39" fillId="22" borderId="5" xfId="0" applyFont="1" applyFill="1" applyBorder="1" applyAlignment="1">
      <alignment horizontal="center"/>
    </xf>
    <xf numFmtId="0" fontId="20" fillId="21" borderId="6" xfId="0" applyFont="1" applyFill="1" applyBorder="1" applyAlignment="1">
      <alignment horizontal="left" vertical="top" wrapText="1"/>
    </xf>
    <xf numFmtId="0" fontId="41" fillId="27" borderId="5" xfId="0" applyFont="1" applyFill="1" applyBorder="1" applyAlignment="1">
      <alignment horizontal="left" vertical="top" wrapText="1"/>
    </xf>
    <xf numFmtId="0" fontId="20" fillId="21" borderId="0" xfId="0" applyFont="1" applyFill="1" applyBorder="1" applyAlignment="1">
      <alignment horizontal="left" vertical="top" wrapText="1"/>
    </xf>
    <xf numFmtId="0" fontId="42" fillId="2" borderId="0" xfId="0" applyFont="1" applyFill="1" applyBorder="1" applyAlignment="1">
      <alignment horizontal="center" vertical="center" wrapText="1"/>
    </xf>
    <xf numFmtId="0" fontId="37" fillId="20" borderId="5" xfId="0" applyFont="1" applyFill="1" applyBorder="1" applyAlignment="1">
      <alignment horizontal="center" vertical="center"/>
    </xf>
    <xf numFmtId="0" fontId="0" fillId="20" borderId="5" xfId="0" applyFill="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1A5C38"/>
      <rgbColor rgb="FF000080"/>
      <rgbColor rgb="FF808000"/>
      <rgbColor rgb="FF800080"/>
      <rgbColor rgb="FF008080"/>
      <rgbColor rgb="FFB0BEC5"/>
      <rgbColor rgb="FF888888"/>
      <rgbColor rgb="FF9999FF"/>
      <rgbColor rgb="FF993366"/>
      <rgbColor rgb="FFFFFFF0"/>
      <rgbColor rgb="FFD6EAF8"/>
      <rgbColor rgb="FF660066"/>
      <rgbColor rgb="FFFF8080"/>
      <rgbColor rgb="FF0066CC"/>
      <rgbColor rgb="FFFAFAFA"/>
      <rgbColor rgb="FF000080"/>
      <rgbColor rgb="FFFF00FF"/>
      <rgbColor rgb="FFFFFF00"/>
      <rgbColor rgb="FF00FFFF"/>
      <rgbColor rgb="FF800080"/>
      <rgbColor rgb="FF800000"/>
      <rgbColor rgb="FF008080"/>
      <rgbColor rgb="FF0000FF"/>
      <rgbColor rgb="FF00CCFF"/>
      <rgbColor rgb="FFF2F2F2"/>
      <rgbColor rgb="FFD6EFE0"/>
      <rgbColor rgb="FFFDEBD0"/>
      <rgbColor rgb="FF99CCFF"/>
      <rgbColor rgb="FFFF99CC"/>
      <rgbColor rgb="FFCC99FF"/>
      <rgbColor rgb="FFFADBD8"/>
      <rgbColor rgb="FF3366FF"/>
      <rgbColor rgb="FF33CCCC"/>
      <rgbColor rgb="FF99CC00"/>
      <rgbColor rgb="FFFFCC00"/>
      <rgbColor rgb="FFFF9900"/>
      <rgbColor rgb="FFE8752A"/>
      <rgbColor rgb="FF555555"/>
      <rgbColor rgb="FF999999"/>
      <rgbColor rgb="FF1A5276"/>
      <rgbColor rgb="FF2E7D52"/>
      <rgbColor rgb="FF003300"/>
      <rgbColor rgb="FF333300"/>
      <rgbColor rgb="FFC0392B"/>
      <rgbColor rgb="FF993366"/>
      <rgbColor rgb="FF2C3E50"/>
      <rgbColor rgb="FF333333"/>
      <rgbColor rgb="00003366"/>
      <rgbColor rgb="00339966"/>
      <rgbColor rgb="00003300"/>
      <rgbColor rgb="00333300"/>
      <rgbColor rgb="00993300"/>
      <rgbColor rgb="00993366"/>
      <rgbColor rgb="00333399"/>
      <rgbColor rgb="00333333"/>
    </indexedColors>
    <mruColors>
      <color rgb="FFA50021"/>
      <color rgb="FFEAEAEA"/>
      <color rgb="FF455436"/>
      <color rgb="FF4A7A5C"/>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37"/>
  <c:chart>
    <c:title>
      <c:tx>
        <c:rich>
          <a:bodyPr/>
          <a:lstStyle/>
          <a:p>
            <a:pPr>
              <a:defRPr sz="1600">
                <a:latin typeface="Bell MT" pitchFamily="18" charset="0"/>
              </a:defRPr>
            </a:pPr>
            <a:r>
              <a:rPr lang="en-US" sz="1600">
                <a:latin typeface="Bell MT" pitchFamily="18" charset="0"/>
              </a:rPr>
              <a:t>Average Wholesale vs Retail Prices by Crop</a:t>
            </a:r>
          </a:p>
        </c:rich>
      </c:tx>
      <c:layout/>
    </c:title>
    <c:plotArea>
      <c:layout>
        <c:manualLayout>
          <c:layoutTarget val="inner"/>
          <c:xMode val="edge"/>
          <c:yMode val="edge"/>
          <c:x val="8.1399866732987339E-2"/>
          <c:y val="0.20036932883389577"/>
          <c:w val="0.8486994935492217"/>
          <c:h val="0.61713460817397836"/>
        </c:manualLayout>
      </c:layout>
      <c:barChart>
        <c:barDir val="col"/>
        <c:grouping val="clustered"/>
        <c:ser>
          <c:idx val="0"/>
          <c:order val="0"/>
          <c:tx>
            <c:strRef>
              <c:f>'Price chain analysis'!$B$4</c:f>
              <c:strCache>
                <c:ptCount val="1"/>
                <c:pt idx="0">
                  <c:v>Average Wholesale Price</c:v>
                </c:pt>
              </c:strCache>
            </c:strRef>
          </c:tx>
          <c:spPr>
            <a:solidFill>
              <a:srgbClr val="455436"/>
            </a:solidFill>
          </c:spPr>
          <c:cat>
            <c:strRef>
              <c:f>'Price chain analysis'!$A$5:$A$13</c:f>
              <c:strCache>
                <c:ptCount val="9"/>
                <c:pt idx="0">
                  <c:v>Rice</c:v>
                </c:pt>
                <c:pt idx="1">
                  <c:v>Onion </c:v>
                </c:pt>
                <c:pt idx="2">
                  <c:v>Brinjal</c:v>
                </c:pt>
                <c:pt idx="3">
                  <c:v>Wheat</c:v>
                </c:pt>
                <c:pt idx="4">
                  <c:v>Cauliflower</c:v>
                </c:pt>
                <c:pt idx="5">
                  <c:v>Potato</c:v>
                </c:pt>
                <c:pt idx="6">
                  <c:v>Tomato</c:v>
                </c:pt>
                <c:pt idx="7">
                  <c:v>Ginger </c:v>
                </c:pt>
                <c:pt idx="8">
                  <c:v>Ladyfinger</c:v>
                </c:pt>
              </c:strCache>
            </c:strRef>
          </c:cat>
          <c:val>
            <c:numRef>
              <c:f>'Price chain analysis'!$B$5:$B$13</c:f>
              <c:numCache>
                <c:formatCode>\₹#,##0.00</c:formatCode>
                <c:ptCount val="9"/>
                <c:pt idx="0">
                  <c:v>36.333333333333336</c:v>
                </c:pt>
                <c:pt idx="1">
                  <c:v>12.744166666666667</c:v>
                </c:pt>
                <c:pt idx="2">
                  <c:v>18.11</c:v>
                </c:pt>
                <c:pt idx="3">
                  <c:v>28.625</c:v>
                </c:pt>
                <c:pt idx="4">
                  <c:v>23.945000000000004</c:v>
                </c:pt>
                <c:pt idx="5">
                  <c:v>8.4208333333333325</c:v>
                </c:pt>
                <c:pt idx="6">
                  <c:v>25.591666666666669</c:v>
                </c:pt>
                <c:pt idx="7">
                  <c:v>42.583333333333336</c:v>
                </c:pt>
                <c:pt idx="8">
                  <c:v>35.333333333333336</c:v>
                </c:pt>
              </c:numCache>
            </c:numRef>
          </c:val>
        </c:ser>
        <c:ser>
          <c:idx val="1"/>
          <c:order val="1"/>
          <c:tx>
            <c:strRef>
              <c:f>'Price chain analysis'!$C$4</c:f>
              <c:strCache>
                <c:ptCount val="1"/>
                <c:pt idx="0">
                  <c:v>Average Retail Price</c:v>
                </c:pt>
              </c:strCache>
            </c:strRef>
          </c:tx>
          <c:cat>
            <c:strRef>
              <c:f>'Price chain analysis'!$A$5:$A$13</c:f>
              <c:strCache>
                <c:ptCount val="9"/>
                <c:pt idx="0">
                  <c:v>Rice</c:v>
                </c:pt>
                <c:pt idx="1">
                  <c:v>Onion </c:v>
                </c:pt>
                <c:pt idx="2">
                  <c:v>Brinjal</c:v>
                </c:pt>
                <c:pt idx="3">
                  <c:v>Wheat</c:v>
                </c:pt>
                <c:pt idx="4">
                  <c:v>Cauliflower</c:v>
                </c:pt>
                <c:pt idx="5">
                  <c:v>Potato</c:v>
                </c:pt>
                <c:pt idx="6">
                  <c:v>Tomato</c:v>
                </c:pt>
                <c:pt idx="7">
                  <c:v>Ginger </c:v>
                </c:pt>
                <c:pt idx="8">
                  <c:v>Ladyfinger</c:v>
                </c:pt>
              </c:strCache>
            </c:strRef>
          </c:cat>
          <c:val>
            <c:numRef>
              <c:f>'Price chain analysis'!$C$5:$C$13</c:f>
              <c:numCache>
                <c:formatCode>\₹#,##0.00</c:formatCode>
                <c:ptCount val="9"/>
                <c:pt idx="0">
                  <c:v>41.166666666666664</c:v>
                </c:pt>
                <c:pt idx="1">
                  <c:v>30.166666666666668</c:v>
                </c:pt>
                <c:pt idx="2">
                  <c:v>51.666666666666664</c:v>
                </c:pt>
                <c:pt idx="3">
                  <c:v>32.333333333333336</c:v>
                </c:pt>
                <c:pt idx="4">
                  <c:v>64.75</c:v>
                </c:pt>
                <c:pt idx="5">
                  <c:v>21.666666666666668</c:v>
                </c:pt>
                <c:pt idx="6">
                  <c:v>46.916666666666664</c:v>
                </c:pt>
                <c:pt idx="7">
                  <c:v>121.5</c:v>
                </c:pt>
                <c:pt idx="8">
                  <c:v>80.916666666666671</c:v>
                </c:pt>
              </c:numCache>
            </c:numRef>
          </c:val>
        </c:ser>
        <c:dLbls/>
        <c:axId val="92241280"/>
        <c:axId val="92247936"/>
      </c:barChart>
      <c:catAx>
        <c:axId val="92241280"/>
        <c:scaling>
          <c:orientation val="minMax"/>
        </c:scaling>
        <c:axPos val="b"/>
        <c:title>
          <c:tx>
            <c:rich>
              <a:bodyPr/>
              <a:lstStyle/>
              <a:p>
                <a:pPr>
                  <a:defRPr/>
                </a:pPr>
                <a:r>
                  <a:rPr lang="en-US">
                    <a:latin typeface="Bell MT" pitchFamily="18" charset="0"/>
                  </a:rPr>
                  <a:t>Crops</a:t>
                </a:r>
              </a:p>
            </c:rich>
          </c:tx>
          <c:layout>
            <c:manualLayout>
              <c:xMode val="edge"/>
              <c:yMode val="edge"/>
              <c:x val="0.52601822193093395"/>
              <c:y val="0.9256075980193198"/>
            </c:manualLayout>
          </c:layout>
        </c:title>
        <c:majorTickMark val="none"/>
        <c:tickLblPos val="nextTo"/>
        <c:txPr>
          <a:bodyPr/>
          <a:lstStyle/>
          <a:p>
            <a:pPr>
              <a:defRPr sz="1200">
                <a:latin typeface="Bell MT" pitchFamily="18" charset="0"/>
              </a:defRPr>
            </a:pPr>
            <a:endParaRPr lang="en-US"/>
          </a:p>
        </c:txPr>
        <c:crossAx val="92247936"/>
        <c:crosses val="autoZero"/>
        <c:auto val="1"/>
        <c:lblAlgn val="ctr"/>
        <c:lblOffset val="100"/>
      </c:catAx>
      <c:valAx>
        <c:axId val="92247936"/>
        <c:scaling>
          <c:orientation val="minMax"/>
        </c:scaling>
        <c:axPos val="l"/>
        <c:majorGridlines>
          <c:spPr>
            <a:ln w="9525" cmpd="dbl">
              <a:solidFill>
                <a:srgbClr val="000000">
                  <a:alpha val="36000"/>
                </a:srgbClr>
              </a:solidFill>
            </a:ln>
          </c:spPr>
        </c:majorGridlines>
        <c:title>
          <c:tx>
            <c:rich>
              <a:bodyPr rot="0" vert="horz"/>
              <a:lstStyle/>
              <a:p>
                <a:pPr>
                  <a:defRPr/>
                </a:pPr>
                <a:r>
                  <a:rPr lang="en-US"/>
                  <a:t>Price Rs/Kg</a:t>
                </a:r>
              </a:p>
            </c:rich>
          </c:tx>
          <c:layout>
            <c:manualLayout>
              <c:xMode val="edge"/>
              <c:yMode val="edge"/>
              <c:x val="9.2059827773217744E-3"/>
              <c:y val="6.9436173123662057E-2"/>
            </c:manualLayout>
          </c:layout>
        </c:title>
        <c:numFmt formatCode="\₹#,##0.00" sourceLinked="1"/>
        <c:majorTickMark val="none"/>
        <c:tickLblPos val="nextTo"/>
        <c:txPr>
          <a:bodyPr/>
          <a:lstStyle/>
          <a:p>
            <a:pPr>
              <a:defRPr sz="1200">
                <a:latin typeface="Bell MT" pitchFamily="18" charset="0"/>
              </a:defRPr>
            </a:pPr>
            <a:endParaRPr lang="en-US"/>
          </a:p>
        </c:txPr>
        <c:crossAx val="92241280"/>
        <c:crosses val="autoZero"/>
        <c:crossBetween val="between"/>
      </c:valAx>
      <c:spPr>
        <a:noFill/>
        <a:ln w="25400">
          <a:noFill/>
        </a:ln>
      </c:spPr>
    </c:plotArea>
    <c:legend>
      <c:legendPos val="r"/>
      <c:layout>
        <c:manualLayout>
          <c:xMode val="edge"/>
          <c:yMode val="edge"/>
          <c:x val="0.78957142681108528"/>
          <c:y val="2.0974128233970751E-2"/>
          <c:w val="0.1811866173232396"/>
          <c:h val="0.16566445683667838"/>
        </c:manualLayout>
      </c:layout>
      <c:txPr>
        <a:bodyPr/>
        <a:lstStyle/>
        <a:p>
          <a:pPr>
            <a:defRPr>
              <a:latin typeface="Bell MT" pitchFamily="18" charset="0"/>
            </a:defRPr>
          </a:pPr>
          <a:endParaRPr lang="en-US"/>
        </a:p>
      </c:txPr>
    </c:legend>
    <c:plotVisOnly val="1"/>
  </c:chart>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layout/>
      <c:txPr>
        <a:bodyPr/>
        <a:lstStyle/>
        <a:p>
          <a:pPr>
            <a:defRPr>
              <a:latin typeface="Bell MT" pitchFamily="18" charset="0"/>
            </a:defRPr>
          </a:pPr>
          <a:endParaRPr lang="en-US"/>
        </a:p>
      </c:txPr>
    </c:title>
    <c:plotArea>
      <c:layout>
        <c:manualLayout>
          <c:layoutTarget val="inner"/>
          <c:xMode val="edge"/>
          <c:yMode val="edge"/>
          <c:x val="0.10264354379015507"/>
          <c:y val="0.21639645763703996"/>
          <c:w val="0.87474815648043991"/>
          <c:h val="0.55386728541405628"/>
        </c:manualLayout>
      </c:layout>
      <c:barChart>
        <c:barDir val="col"/>
        <c:grouping val="clustered"/>
        <c:ser>
          <c:idx val="0"/>
          <c:order val="0"/>
          <c:tx>
            <c:strRef>
              <c:f>'Price chain analysis'!$D$24</c:f>
              <c:strCache>
                <c:ptCount val="1"/>
                <c:pt idx="0">
                  <c:v>Volatility</c:v>
                </c:pt>
              </c:strCache>
            </c:strRef>
          </c:tx>
          <c:spPr>
            <a:solidFill>
              <a:srgbClr val="A50021"/>
            </a:solidFill>
          </c:spPr>
          <c:cat>
            <c:strRef>
              <c:f>'Price chain analysis'!$A$25:$A$33</c:f>
              <c:strCache>
                <c:ptCount val="9"/>
                <c:pt idx="0">
                  <c:v>Rice</c:v>
                </c:pt>
                <c:pt idx="1">
                  <c:v>Onion </c:v>
                </c:pt>
                <c:pt idx="2">
                  <c:v>Brinjal</c:v>
                </c:pt>
                <c:pt idx="3">
                  <c:v>Wheat</c:v>
                </c:pt>
                <c:pt idx="4">
                  <c:v>Cauliflower</c:v>
                </c:pt>
                <c:pt idx="5">
                  <c:v>Potato</c:v>
                </c:pt>
                <c:pt idx="6">
                  <c:v>Tomato</c:v>
                </c:pt>
                <c:pt idx="7">
                  <c:v>Ginger </c:v>
                </c:pt>
                <c:pt idx="8">
                  <c:v>Ladyfinger</c:v>
                </c:pt>
              </c:strCache>
            </c:strRef>
          </c:cat>
          <c:val>
            <c:numRef>
              <c:f>'Price chain analysis'!$D$25:$D$33</c:f>
              <c:numCache>
                <c:formatCode>_ [$₹-446]\ * #,##0.00_ ;_ [$₹-446]\ * \-#,##0.00_ ;_ [$₹-446]\ * "-"??_ ;_ @_ </c:formatCode>
                <c:ptCount val="9"/>
                <c:pt idx="0">
                  <c:v>4</c:v>
                </c:pt>
                <c:pt idx="1">
                  <c:v>22</c:v>
                </c:pt>
                <c:pt idx="2">
                  <c:v>3</c:v>
                </c:pt>
                <c:pt idx="3">
                  <c:v>2</c:v>
                </c:pt>
                <c:pt idx="4">
                  <c:v>63</c:v>
                </c:pt>
                <c:pt idx="5">
                  <c:v>35</c:v>
                </c:pt>
                <c:pt idx="6">
                  <c:v>53</c:v>
                </c:pt>
                <c:pt idx="7">
                  <c:v>50</c:v>
                </c:pt>
                <c:pt idx="8">
                  <c:v>73</c:v>
                </c:pt>
              </c:numCache>
            </c:numRef>
          </c:val>
        </c:ser>
        <c:axId val="127730048"/>
        <c:axId val="127739392"/>
      </c:barChart>
      <c:catAx>
        <c:axId val="127730048"/>
        <c:scaling>
          <c:orientation val="minMax"/>
        </c:scaling>
        <c:axPos val="b"/>
        <c:title>
          <c:tx>
            <c:rich>
              <a:bodyPr/>
              <a:lstStyle/>
              <a:p>
                <a:pPr>
                  <a:defRPr/>
                </a:pPr>
                <a:r>
                  <a:rPr lang="en-US" sz="1200">
                    <a:latin typeface="Bell MT" pitchFamily="18" charset="0"/>
                  </a:rPr>
                  <a:t>Crops</a:t>
                </a:r>
              </a:p>
            </c:rich>
          </c:tx>
          <c:layout/>
        </c:title>
        <c:tickLblPos val="nextTo"/>
        <c:txPr>
          <a:bodyPr/>
          <a:lstStyle/>
          <a:p>
            <a:pPr>
              <a:defRPr sz="1200">
                <a:latin typeface="Bell MT" pitchFamily="18" charset="0"/>
              </a:defRPr>
            </a:pPr>
            <a:endParaRPr lang="en-US"/>
          </a:p>
        </c:txPr>
        <c:crossAx val="127739392"/>
        <c:crosses val="autoZero"/>
        <c:auto val="1"/>
        <c:lblAlgn val="ctr"/>
        <c:lblOffset val="100"/>
      </c:catAx>
      <c:valAx>
        <c:axId val="127739392"/>
        <c:scaling>
          <c:orientation val="minMax"/>
        </c:scaling>
        <c:axPos val="l"/>
        <c:majorGridlines>
          <c:spPr>
            <a:ln>
              <a:solidFill>
                <a:srgbClr val="000000">
                  <a:alpha val="47000"/>
                </a:srgbClr>
              </a:solidFill>
            </a:ln>
          </c:spPr>
        </c:majorGridlines>
        <c:title>
          <c:tx>
            <c:rich>
              <a:bodyPr rot="0" vert="horz"/>
              <a:lstStyle/>
              <a:p>
                <a:pPr>
                  <a:defRPr/>
                </a:pPr>
                <a:r>
                  <a:rPr lang="en-US" sz="1200">
                    <a:latin typeface="Bell MT" pitchFamily="18" charset="0"/>
                  </a:rPr>
                  <a:t>Price</a:t>
                </a:r>
              </a:p>
            </c:rich>
          </c:tx>
          <c:layout>
            <c:manualLayout>
              <c:xMode val="edge"/>
              <c:yMode val="edge"/>
              <c:x val="1.7995910020449899E-2"/>
              <c:y val="7.317396476519572E-2"/>
            </c:manualLayout>
          </c:layout>
        </c:title>
        <c:numFmt formatCode="_ [$₹-446]\ * #,##0.00_ ;_ [$₹-446]\ * \-#,##0.00_ ;_ [$₹-446]\ * &quot;-&quot;??_ ;_ @_ " sourceLinked="1"/>
        <c:tickLblPos val="nextTo"/>
        <c:txPr>
          <a:bodyPr/>
          <a:lstStyle/>
          <a:p>
            <a:pPr>
              <a:defRPr sz="1200">
                <a:latin typeface="Bell MT" pitchFamily="18" charset="0"/>
              </a:defRPr>
            </a:pPr>
            <a:endParaRPr lang="en-US"/>
          </a:p>
        </c:txPr>
        <c:crossAx val="127730048"/>
        <c:crosses val="autoZero"/>
        <c:crossBetween val="between"/>
      </c:valAx>
    </c:plotArea>
    <c:legend>
      <c:legendPos val="r"/>
      <c:layout>
        <c:manualLayout>
          <c:xMode val="edge"/>
          <c:yMode val="edge"/>
          <c:x val="0.84237370328708905"/>
          <c:y val="5.3437368961153656E-2"/>
          <c:w val="9.2893137904889816E-2"/>
          <c:h val="7.7841359466465129E-2"/>
        </c:manualLayout>
      </c:layout>
      <c:txPr>
        <a:bodyPr/>
        <a:lstStyle/>
        <a:p>
          <a:pPr>
            <a:defRPr sz="1200">
              <a:latin typeface="Bell MT" pitchFamily="18" charset="0"/>
            </a:defRPr>
          </a:pPr>
          <a:endParaRPr lang="en-US"/>
        </a:p>
      </c:txPr>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style val="14"/>
  <c:chart>
    <c:title>
      <c:layout/>
      <c:txPr>
        <a:bodyPr/>
        <a:lstStyle/>
        <a:p>
          <a:pPr>
            <a:defRPr>
              <a:latin typeface="Bell MT" pitchFamily="18" charset="0"/>
            </a:defRPr>
          </a:pPr>
          <a:endParaRPr lang="en-US"/>
        </a:p>
      </c:txPr>
    </c:title>
    <c:plotArea>
      <c:layout>
        <c:manualLayout>
          <c:layoutTarget val="inner"/>
          <c:xMode val="edge"/>
          <c:yMode val="edge"/>
          <c:x val="0.13333224309199515"/>
          <c:y val="0.11873120934527083"/>
          <c:w val="0.80565611049054808"/>
          <c:h val="0.73154931995336736"/>
        </c:manualLayout>
      </c:layout>
      <c:scatterChart>
        <c:scatterStyle val="lineMarker"/>
        <c:ser>
          <c:idx val="0"/>
          <c:order val="0"/>
          <c:tx>
            <c:strRef>
              <c:f>Dashboards!$R$1</c:f>
              <c:strCache>
                <c:ptCount val="1"/>
                <c:pt idx="0">
                  <c:v>Markup %</c:v>
                </c:pt>
              </c:strCache>
            </c:strRef>
          </c:tx>
          <c:spPr>
            <a:ln w="47625">
              <a:noFill/>
            </a:ln>
          </c:spPr>
          <c:xVal>
            <c:numRef>
              <c:f>Dashboards!$Q$2:$Q$109</c:f>
              <c:numCache>
                <c:formatCode>General</c:formatCode>
                <c:ptCount val="107"/>
                <c:pt idx="0">
                  <c:v>180</c:v>
                </c:pt>
                <c:pt idx="1">
                  <c:v>180</c:v>
                </c:pt>
                <c:pt idx="2">
                  <c:v>180</c:v>
                </c:pt>
                <c:pt idx="3">
                  <c:v>180</c:v>
                </c:pt>
                <c:pt idx="4">
                  <c:v>45</c:v>
                </c:pt>
                <c:pt idx="5">
                  <c:v>45</c:v>
                </c:pt>
                <c:pt idx="6">
                  <c:v>45</c:v>
                </c:pt>
                <c:pt idx="7">
                  <c:v>45</c:v>
                </c:pt>
                <c:pt idx="8">
                  <c:v>5</c:v>
                </c:pt>
                <c:pt idx="9">
                  <c:v>5</c:v>
                </c:pt>
                <c:pt idx="10">
                  <c:v>5</c:v>
                </c:pt>
                <c:pt idx="11">
                  <c:v>5</c:v>
                </c:pt>
                <c:pt idx="12">
                  <c:v>150</c:v>
                </c:pt>
                <c:pt idx="13">
                  <c:v>150</c:v>
                </c:pt>
                <c:pt idx="14">
                  <c:v>150</c:v>
                </c:pt>
                <c:pt idx="15">
                  <c:v>150</c:v>
                </c:pt>
                <c:pt idx="16">
                  <c:v>4</c:v>
                </c:pt>
                <c:pt idx="17">
                  <c:v>4</c:v>
                </c:pt>
                <c:pt idx="18">
                  <c:v>4</c:v>
                </c:pt>
                <c:pt idx="19">
                  <c:v>4</c:v>
                </c:pt>
                <c:pt idx="20">
                  <c:v>60</c:v>
                </c:pt>
                <c:pt idx="21">
                  <c:v>60</c:v>
                </c:pt>
                <c:pt idx="22">
                  <c:v>60</c:v>
                </c:pt>
                <c:pt idx="23">
                  <c:v>60</c:v>
                </c:pt>
                <c:pt idx="24">
                  <c:v>7</c:v>
                </c:pt>
                <c:pt idx="25">
                  <c:v>7</c:v>
                </c:pt>
                <c:pt idx="26">
                  <c:v>7</c:v>
                </c:pt>
                <c:pt idx="27">
                  <c:v>90</c:v>
                </c:pt>
                <c:pt idx="28">
                  <c:v>90</c:v>
                </c:pt>
                <c:pt idx="29">
                  <c:v>90</c:v>
                </c:pt>
                <c:pt idx="30">
                  <c:v>90</c:v>
                </c:pt>
                <c:pt idx="31">
                  <c:v>3</c:v>
                </c:pt>
                <c:pt idx="32">
                  <c:v>3</c:v>
                </c:pt>
                <c:pt idx="33">
                  <c:v>3</c:v>
                </c:pt>
                <c:pt idx="34">
                  <c:v>3</c:v>
                </c:pt>
                <c:pt idx="35">
                  <c:v>180</c:v>
                </c:pt>
                <c:pt idx="36">
                  <c:v>180</c:v>
                </c:pt>
                <c:pt idx="37">
                  <c:v>180</c:v>
                </c:pt>
                <c:pt idx="38">
                  <c:v>180</c:v>
                </c:pt>
                <c:pt idx="39">
                  <c:v>45</c:v>
                </c:pt>
                <c:pt idx="40">
                  <c:v>45</c:v>
                </c:pt>
                <c:pt idx="41">
                  <c:v>45</c:v>
                </c:pt>
                <c:pt idx="42">
                  <c:v>45</c:v>
                </c:pt>
                <c:pt idx="43">
                  <c:v>5</c:v>
                </c:pt>
                <c:pt idx="44">
                  <c:v>5</c:v>
                </c:pt>
                <c:pt idx="45">
                  <c:v>5</c:v>
                </c:pt>
                <c:pt idx="46">
                  <c:v>5</c:v>
                </c:pt>
                <c:pt idx="47">
                  <c:v>150</c:v>
                </c:pt>
                <c:pt idx="48">
                  <c:v>150</c:v>
                </c:pt>
                <c:pt idx="49">
                  <c:v>150</c:v>
                </c:pt>
                <c:pt idx="50">
                  <c:v>150</c:v>
                </c:pt>
                <c:pt idx="51">
                  <c:v>4</c:v>
                </c:pt>
                <c:pt idx="52">
                  <c:v>4</c:v>
                </c:pt>
                <c:pt idx="53">
                  <c:v>4</c:v>
                </c:pt>
                <c:pt idx="54">
                  <c:v>4</c:v>
                </c:pt>
                <c:pt idx="55">
                  <c:v>60</c:v>
                </c:pt>
                <c:pt idx="56">
                  <c:v>60</c:v>
                </c:pt>
                <c:pt idx="57">
                  <c:v>60</c:v>
                </c:pt>
                <c:pt idx="58">
                  <c:v>60</c:v>
                </c:pt>
                <c:pt idx="59">
                  <c:v>7</c:v>
                </c:pt>
                <c:pt idx="60">
                  <c:v>7</c:v>
                </c:pt>
                <c:pt idx="61">
                  <c:v>7</c:v>
                </c:pt>
                <c:pt idx="62">
                  <c:v>7</c:v>
                </c:pt>
                <c:pt idx="63">
                  <c:v>90</c:v>
                </c:pt>
                <c:pt idx="64">
                  <c:v>90</c:v>
                </c:pt>
                <c:pt idx="65">
                  <c:v>90</c:v>
                </c:pt>
                <c:pt idx="66">
                  <c:v>90</c:v>
                </c:pt>
                <c:pt idx="67">
                  <c:v>3</c:v>
                </c:pt>
                <c:pt idx="68">
                  <c:v>3</c:v>
                </c:pt>
                <c:pt idx="69">
                  <c:v>3</c:v>
                </c:pt>
                <c:pt idx="70">
                  <c:v>3</c:v>
                </c:pt>
                <c:pt idx="71">
                  <c:v>180</c:v>
                </c:pt>
                <c:pt idx="72">
                  <c:v>180</c:v>
                </c:pt>
                <c:pt idx="73">
                  <c:v>180</c:v>
                </c:pt>
                <c:pt idx="74">
                  <c:v>180</c:v>
                </c:pt>
                <c:pt idx="75">
                  <c:v>45</c:v>
                </c:pt>
                <c:pt idx="76">
                  <c:v>45</c:v>
                </c:pt>
                <c:pt idx="77">
                  <c:v>45</c:v>
                </c:pt>
                <c:pt idx="78">
                  <c:v>45</c:v>
                </c:pt>
                <c:pt idx="79">
                  <c:v>5</c:v>
                </c:pt>
                <c:pt idx="80">
                  <c:v>5</c:v>
                </c:pt>
                <c:pt idx="81">
                  <c:v>5</c:v>
                </c:pt>
                <c:pt idx="82">
                  <c:v>5</c:v>
                </c:pt>
                <c:pt idx="83">
                  <c:v>150</c:v>
                </c:pt>
                <c:pt idx="84">
                  <c:v>150</c:v>
                </c:pt>
                <c:pt idx="85">
                  <c:v>150</c:v>
                </c:pt>
                <c:pt idx="86">
                  <c:v>150</c:v>
                </c:pt>
                <c:pt idx="87">
                  <c:v>4</c:v>
                </c:pt>
                <c:pt idx="88">
                  <c:v>4</c:v>
                </c:pt>
                <c:pt idx="89">
                  <c:v>4</c:v>
                </c:pt>
                <c:pt idx="90">
                  <c:v>4</c:v>
                </c:pt>
                <c:pt idx="91">
                  <c:v>60</c:v>
                </c:pt>
                <c:pt idx="92">
                  <c:v>60</c:v>
                </c:pt>
                <c:pt idx="93">
                  <c:v>60</c:v>
                </c:pt>
                <c:pt idx="94">
                  <c:v>60</c:v>
                </c:pt>
                <c:pt idx="95">
                  <c:v>7</c:v>
                </c:pt>
                <c:pt idx="96">
                  <c:v>7</c:v>
                </c:pt>
                <c:pt idx="97">
                  <c:v>7</c:v>
                </c:pt>
                <c:pt idx="98">
                  <c:v>7</c:v>
                </c:pt>
                <c:pt idx="99">
                  <c:v>90</c:v>
                </c:pt>
                <c:pt idx="100">
                  <c:v>90</c:v>
                </c:pt>
                <c:pt idx="101">
                  <c:v>90</c:v>
                </c:pt>
                <c:pt idx="102">
                  <c:v>90</c:v>
                </c:pt>
                <c:pt idx="103">
                  <c:v>3</c:v>
                </c:pt>
                <c:pt idx="104">
                  <c:v>3</c:v>
                </c:pt>
                <c:pt idx="105">
                  <c:v>3</c:v>
                </c:pt>
                <c:pt idx="106">
                  <c:v>3</c:v>
                </c:pt>
              </c:numCache>
            </c:numRef>
          </c:xVal>
          <c:yVal>
            <c:numRef>
              <c:f>Dashboards!$R$2:$R$109</c:f>
              <c:numCache>
                <c:formatCode>0%</c:formatCode>
                <c:ptCount val="107"/>
                <c:pt idx="0">
                  <c:v>0.18309859154929578</c:v>
                </c:pt>
                <c:pt idx="1">
                  <c:v>0.18309859154929578</c:v>
                </c:pt>
                <c:pt idx="2">
                  <c:v>0.18309859154929578</c:v>
                </c:pt>
                <c:pt idx="3">
                  <c:v>0.18309859154929578</c:v>
                </c:pt>
                <c:pt idx="4">
                  <c:v>1.7272727272727273</c:v>
                </c:pt>
                <c:pt idx="5">
                  <c:v>1.4489795918367347</c:v>
                </c:pt>
                <c:pt idx="6">
                  <c:v>1.4489795918367347</c:v>
                </c:pt>
                <c:pt idx="7">
                  <c:v>0.33333333333333331</c:v>
                </c:pt>
                <c:pt idx="8">
                  <c:v>1.6041666666666667</c:v>
                </c:pt>
                <c:pt idx="9">
                  <c:v>1.5</c:v>
                </c:pt>
                <c:pt idx="10">
                  <c:v>1.8108108108108107</c:v>
                </c:pt>
                <c:pt idx="11">
                  <c:v>1.7548209366391188</c:v>
                </c:pt>
                <c:pt idx="12">
                  <c:v>0.22222222222222221</c:v>
                </c:pt>
                <c:pt idx="13">
                  <c:v>0.22222222222222221</c:v>
                </c:pt>
                <c:pt idx="14">
                  <c:v>0.21100917431192662</c:v>
                </c:pt>
                <c:pt idx="15">
                  <c:v>0.21100917431192662</c:v>
                </c:pt>
                <c:pt idx="16">
                  <c:v>0.875</c:v>
                </c:pt>
                <c:pt idx="17">
                  <c:v>1.2333333333333334</c:v>
                </c:pt>
                <c:pt idx="18">
                  <c:v>0.56666666666666665</c:v>
                </c:pt>
                <c:pt idx="19">
                  <c:v>2.3333333333333335</c:v>
                </c:pt>
                <c:pt idx="20">
                  <c:v>1.5423728813559321</c:v>
                </c:pt>
                <c:pt idx="21">
                  <c:v>2.6866359447004609</c:v>
                </c:pt>
                <c:pt idx="22">
                  <c:v>2.9170506912442398</c:v>
                </c:pt>
                <c:pt idx="23">
                  <c:v>2.5294117647058822</c:v>
                </c:pt>
                <c:pt idx="24">
                  <c:v>0.70731707317073167</c:v>
                </c:pt>
                <c:pt idx="25">
                  <c:v>1.5000000000000002</c:v>
                </c:pt>
                <c:pt idx="26">
                  <c:v>0.87969924812030065</c:v>
                </c:pt>
                <c:pt idx="27">
                  <c:v>1.3076923076923077</c:v>
                </c:pt>
                <c:pt idx="28">
                  <c:v>1.2156862745098038</c:v>
                </c:pt>
                <c:pt idx="29">
                  <c:v>1.0980392156862746</c:v>
                </c:pt>
                <c:pt idx="30">
                  <c:v>1.2222222222222223</c:v>
                </c:pt>
                <c:pt idx="31">
                  <c:v>2.1578947368421053</c:v>
                </c:pt>
                <c:pt idx="32">
                  <c:v>2.3199999999999998</c:v>
                </c:pt>
                <c:pt idx="33">
                  <c:v>1.8064516129032258</c:v>
                </c:pt>
                <c:pt idx="34">
                  <c:v>1.3513513513513513</c:v>
                </c:pt>
                <c:pt idx="35">
                  <c:v>0.16216216216216217</c:v>
                </c:pt>
                <c:pt idx="36">
                  <c:v>0.16216216216216217</c:v>
                </c:pt>
                <c:pt idx="37">
                  <c:v>0.16666666666666666</c:v>
                </c:pt>
                <c:pt idx="38">
                  <c:v>0.16666666666666666</c:v>
                </c:pt>
                <c:pt idx="39">
                  <c:v>0.74825174825174812</c:v>
                </c:pt>
                <c:pt idx="40">
                  <c:v>1.1917808219178081</c:v>
                </c:pt>
                <c:pt idx="41">
                  <c:v>1.1288515406162463</c:v>
                </c:pt>
                <c:pt idx="42">
                  <c:v>1.5592417061611372</c:v>
                </c:pt>
                <c:pt idx="43">
                  <c:v>1.6436197254702591</c:v>
                </c:pt>
                <c:pt idx="44">
                  <c:v>1.4480369515011549</c:v>
                </c:pt>
                <c:pt idx="45">
                  <c:v>1.5365853658536586</c:v>
                </c:pt>
                <c:pt idx="46">
                  <c:v>1.5806451612903227</c:v>
                </c:pt>
                <c:pt idx="47">
                  <c:v>0.14285714285714285</c:v>
                </c:pt>
                <c:pt idx="48">
                  <c:v>0.14285714285714285</c:v>
                </c:pt>
                <c:pt idx="49">
                  <c:v>0.10344827586206896</c:v>
                </c:pt>
                <c:pt idx="50">
                  <c:v>6.8965517241379309E-2</c:v>
                </c:pt>
                <c:pt idx="51">
                  <c:v>1</c:v>
                </c:pt>
                <c:pt idx="52">
                  <c:v>1</c:v>
                </c:pt>
                <c:pt idx="53">
                  <c:v>1.1200000000000001</c:v>
                </c:pt>
                <c:pt idx="54">
                  <c:v>1.4090909090909092</c:v>
                </c:pt>
                <c:pt idx="55">
                  <c:v>1.8708133971291867</c:v>
                </c:pt>
                <c:pt idx="56">
                  <c:v>2.3846153846153846</c:v>
                </c:pt>
                <c:pt idx="57">
                  <c:v>2.3576642335766422</c:v>
                </c:pt>
                <c:pt idx="58">
                  <c:v>2.0263157894736845</c:v>
                </c:pt>
                <c:pt idx="59">
                  <c:v>0.3043478260869566</c:v>
                </c:pt>
                <c:pt idx="60">
                  <c:v>0.46276595744680843</c:v>
                </c:pt>
                <c:pt idx="61">
                  <c:v>0.39416983523447391</c:v>
                </c:pt>
                <c:pt idx="62">
                  <c:v>0.42148760330578511</c:v>
                </c:pt>
                <c:pt idx="63">
                  <c:v>1.4318181818181819</c:v>
                </c:pt>
                <c:pt idx="64">
                  <c:v>1.3777777777777778</c:v>
                </c:pt>
                <c:pt idx="65">
                  <c:v>1.2291666666666667</c:v>
                </c:pt>
                <c:pt idx="66">
                  <c:v>1.1399999999999999</c:v>
                </c:pt>
                <c:pt idx="67">
                  <c:v>1.34</c:v>
                </c:pt>
                <c:pt idx="68">
                  <c:v>1.4</c:v>
                </c:pt>
                <c:pt idx="69">
                  <c:v>0.42857142857142855</c:v>
                </c:pt>
                <c:pt idx="70">
                  <c:v>0.91304347826086951</c:v>
                </c:pt>
                <c:pt idx="71">
                  <c:v>5.4054054054054057E-2</c:v>
                </c:pt>
                <c:pt idx="72">
                  <c:v>5.4054054054054057E-2</c:v>
                </c:pt>
                <c:pt idx="73">
                  <c:v>5.4054054054054057E-2</c:v>
                </c:pt>
                <c:pt idx="74">
                  <c:v>5.4054054054054057E-2</c:v>
                </c:pt>
                <c:pt idx="75">
                  <c:v>1.9333333333333333</c:v>
                </c:pt>
                <c:pt idx="76">
                  <c:v>1.9333333333333333</c:v>
                </c:pt>
                <c:pt idx="77">
                  <c:v>1.7777777777777775</c:v>
                </c:pt>
                <c:pt idx="78">
                  <c:v>1.5454545454545454</c:v>
                </c:pt>
                <c:pt idx="79">
                  <c:v>2.0285714285714285</c:v>
                </c:pt>
                <c:pt idx="80">
                  <c:v>2.7857142857142856</c:v>
                </c:pt>
                <c:pt idx="81">
                  <c:v>2.5714285714285716</c:v>
                </c:pt>
                <c:pt idx="82">
                  <c:v>2.7857142857142856</c:v>
                </c:pt>
                <c:pt idx="83">
                  <c:v>4.9180327868852458E-2</c:v>
                </c:pt>
                <c:pt idx="84">
                  <c:v>4.9180327868852458E-2</c:v>
                </c:pt>
                <c:pt idx="85">
                  <c:v>6.6666666666666666E-2</c:v>
                </c:pt>
                <c:pt idx="86">
                  <c:v>0.1</c:v>
                </c:pt>
                <c:pt idx="87">
                  <c:v>4.1282051282051286</c:v>
                </c:pt>
                <c:pt idx="88">
                  <c:v>3.3541364296081273</c:v>
                </c:pt>
                <c:pt idx="89">
                  <c:v>3.0909090909090908</c:v>
                </c:pt>
                <c:pt idx="90">
                  <c:v>1.7548209366391183</c:v>
                </c:pt>
                <c:pt idx="91">
                  <c:v>1</c:v>
                </c:pt>
                <c:pt idx="92">
                  <c:v>1.0740740740740742</c:v>
                </c:pt>
                <c:pt idx="93">
                  <c:v>1.0740740740740742</c:v>
                </c:pt>
                <c:pt idx="94">
                  <c:v>0.9285714285714286</c:v>
                </c:pt>
                <c:pt idx="95">
                  <c:v>1.6666666666666667</c:v>
                </c:pt>
                <c:pt idx="96">
                  <c:v>1.2083333333333333</c:v>
                </c:pt>
                <c:pt idx="97">
                  <c:v>1.1153846153846154</c:v>
                </c:pt>
                <c:pt idx="98">
                  <c:v>1.2941176470588236</c:v>
                </c:pt>
                <c:pt idx="99">
                  <c:v>3.6153846153846154</c:v>
                </c:pt>
                <c:pt idx="100">
                  <c:v>4.4545454545454541</c:v>
                </c:pt>
                <c:pt idx="101">
                  <c:v>4.4545454545454541</c:v>
                </c:pt>
                <c:pt idx="102">
                  <c:v>2.7333333333333334</c:v>
                </c:pt>
                <c:pt idx="103">
                  <c:v>0.70909090909090911</c:v>
                </c:pt>
                <c:pt idx="104">
                  <c:v>1.8571428571428572</c:v>
                </c:pt>
                <c:pt idx="105">
                  <c:v>1.8571428571428572</c:v>
                </c:pt>
                <c:pt idx="106">
                  <c:v>2.3333333333333335</c:v>
                </c:pt>
              </c:numCache>
            </c:numRef>
          </c:yVal>
        </c:ser>
        <c:axId val="127409536"/>
        <c:axId val="127408000"/>
      </c:scatterChart>
      <c:valAx>
        <c:axId val="127409536"/>
        <c:scaling>
          <c:orientation val="minMax"/>
        </c:scaling>
        <c:axPos val="b"/>
        <c:title>
          <c:tx>
            <c:rich>
              <a:bodyPr/>
              <a:lstStyle/>
              <a:p>
                <a:pPr>
                  <a:defRPr/>
                </a:pPr>
                <a:r>
                  <a:rPr lang="en-US" sz="1200">
                    <a:latin typeface="Bell MT" pitchFamily="18" charset="0"/>
                  </a:rPr>
                  <a:t>Shelf Life Days</a:t>
                </a:r>
              </a:p>
            </c:rich>
          </c:tx>
          <c:layout>
            <c:manualLayout>
              <c:xMode val="edge"/>
              <c:yMode val="edge"/>
              <c:x val="0.43398844365666267"/>
              <c:y val="0.9542050064920008"/>
            </c:manualLayout>
          </c:layout>
        </c:title>
        <c:numFmt formatCode="General" sourceLinked="1"/>
        <c:tickLblPos val="nextTo"/>
        <c:txPr>
          <a:bodyPr/>
          <a:lstStyle/>
          <a:p>
            <a:pPr>
              <a:defRPr sz="1200">
                <a:latin typeface="Bell MT" pitchFamily="18" charset="0"/>
              </a:defRPr>
            </a:pPr>
            <a:endParaRPr lang="en-US"/>
          </a:p>
        </c:txPr>
        <c:crossAx val="127408000"/>
        <c:crosses val="autoZero"/>
        <c:crossBetween val="midCat"/>
      </c:valAx>
      <c:valAx>
        <c:axId val="127408000"/>
        <c:scaling>
          <c:orientation val="minMax"/>
          <c:max val="3"/>
          <c:min val="0"/>
        </c:scaling>
        <c:axPos val="l"/>
        <c:majorGridlines>
          <c:spPr>
            <a:ln>
              <a:solidFill>
                <a:srgbClr val="000000">
                  <a:alpha val="38000"/>
                </a:srgbClr>
              </a:solidFill>
            </a:ln>
          </c:spPr>
        </c:majorGridlines>
        <c:title>
          <c:tx>
            <c:rich>
              <a:bodyPr rot="0" vert="horz"/>
              <a:lstStyle/>
              <a:p>
                <a:pPr>
                  <a:defRPr sz="1200">
                    <a:latin typeface="Bell MT" pitchFamily="18" charset="0"/>
                  </a:defRPr>
                </a:pPr>
                <a:r>
                  <a:rPr lang="en-US" sz="1200">
                    <a:latin typeface="Bell MT" pitchFamily="18" charset="0"/>
                  </a:rPr>
                  <a:t>Markup %</a:t>
                </a:r>
              </a:p>
            </c:rich>
          </c:tx>
          <c:layout>
            <c:manualLayout>
              <c:xMode val="edge"/>
              <c:yMode val="edge"/>
              <c:x val="3.9292887147645783E-2"/>
              <c:y val="3.0157172350115686E-2"/>
            </c:manualLayout>
          </c:layout>
        </c:title>
        <c:numFmt formatCode="0%" sourceLinked="1"/>
        <c:tickLblPos val="nextTo"/>
        <c:txPr>
          <a:bodyPr/>
          <a:lstStyle/>
          <a:p>
            <a:pPr>
              <a:defRPr sz="1600">
                <a:latin typeface="Bell MT" pitchFamily="18" charset="0"/>
              </a:defRPr>
            </a:pPr>
            <a:endParaRPr lang="en-US"/>
          </a:p>
        </c:txPr>
        <c:crossAx val="127409536"/>
        <c:crosses val="autoZero"/>
        <c:crossBetween val="midCat"/>
        <c:majorUnit val="0.5"/>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86591</xdr:colOff>
      <xdr:row>15</xdr:row>
      <xdr:rowOff>94383</xdr:rowOff>
    </xdr:from>
    <xdr:to>
      <xdr:col>10</xdr:col>
      <xdr:colOff>391392</xdr:colOff>
      <xdr:row>30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64942</xdr:colOff>
      <xdr:row>77</xdr:row>
      <xdr:rowOff>131616</xdr:rowOff>
    </xdr:from>
    <xdr:to>
      <xdr:col>11</xdr:col>
      <xdr:colOff>51954</xdr:colOff>
      <xdr:row>92</xdr:row>
      <xdr:rowOff>155862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17318</xdr:colOff>
      <xdr:row>41</xdr:row>
      <xdr:rowOff>34637</xdr:rowOff>
    </xdr:from>
    <xdr:to>
      <xdr:col>11</xdr:col>
      <xdr:colOff>17318</xdr:colOff>
      <xdr:row>67</xdr:row>
      <xdr:rowOff>4947</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N110"/>
  <sheetViews>
    <sheetView showGridLines="0" zoomScale="55" zoomScaleNormal="55" workbookViewId="0">
      <pane ySplit="1" topLeftCell="A2" activePane="bottomLeft" state="frozen"/>
      <selection pane="bottomLeft" activeCell="A2" sqref="A2"/>
    </sheetView>
  </sheetViews>
  <sheetFormatPr defaultColWidth="8.7109375" defaultRowHeight="15"/>
  <cols>
    <col min="1" max="2" width="13" customWidth="1"/>
    <col min="3" max="3" width="18" customWidth="1"/>
    <col min="4" max="4" width="10" customWidth="1"/>
    <col min="5" max="6" width="22" customWidth="1"/>
    <col min="7" max="8" width="20" customWidth="1"/>
    <col min="9" max="11" width="16" customWidth="1"/>
    <col min="12" max="12" width="22" customWidth="1"/>
  </cols>
  <sheetData>
    <row r="1" spans="1:14" ht="31.5" customHeight="1">
      <c r="A1" s="95" t="s">
        <v>89</v>
      </c>
      <c r="B1" s="23"/>
      <c r="C1" s="23"/>
      <c r="D1" s="23"/>
      <c r="E1" s="23"/>
      <c r="F1" s="23"/>
      <c r="G1" s="23"/>
      <c r="H1" s="23"/>
      <c r="I1" s="23"/>
      <c r="J1" s="23"/>
      <c r="K1" s="23"/>
      <c r="L1" s="23"/>
      <c r="M1" s="23"/>
      <c r="N1" s="23"/>
    </row>
    <row r="2" spans="1:14" ht="45" customHeight="1">
      <c r="A2" s="51" t="s">
        <v>0</v>
      </c>
      <c r="B2" s="51" t="s">
        <v>24</v>
      </c>
      <c r="C2" s="51" t="s">
        <v>7</v>
      </c>
      <c r="D2" s="51" t="s">
        <v>1</v>
      </c>
      <c r="E2" s="51" t="s">
        <v>42</v>
      </c>
      <c r="F2" s="51" t="s">
        <v>18</v>
      </c>
      <c r="G2" s="51" t="s">
        <v>19</v>
      </c>
      <c r="H2" s="51" t="s">
        <v>20</v>
      </c>
      <c r="I2" s="51" t="s">
        <v>21</v>
      </c>
      <c r="J2" s="51" t="s">
        <v>49</v>
      </c>
      <c r="K2" s="51" t="s">
        <v>22</v>
      </c>
      <c r="L2" s="51" t="s">
        <v>23</v>
      </c>
      <c r="M2" s="11" t="s">
        <v>66</v>
      </c>
      <c r="N2" s="11" t="s">
        <v>77</v>
      </c>
    </row>
    <row r="3" spans="1:14">
      <c r="A3" s="52">
        <v>46136</v>
      </c>
      <c r="B3" s="52" t="s">
        <v>32</v>
      </c>
      <c r="C3" s="52" t="s">
        <v>41</v>
      </c>
      <c r="D3" s="52" t="s">
        <v>31</v>
      </c>
      <c r="E3" s="52">
        <v>3550</v>
      </c>
      <c r="F3" s="52">
        <f>E3/100</f>
        <v>35.5</v>
      </c>
      <c r="G3" s="52">
        <v>42</v>
      </c>
      <c r="H3" s="52">
        <f>G3-F3</f>
        <v>6.5</v>
      </c>
      <c r="I3" s="52">
        <v>180</v>
      </c>
      <c r="J3" s="52" t="s">
        <v>50</v>
      </c>
      <c r="K3" s="52">
        <f>IF(J3="Low",1,IF(J3="Medium",2,IF(J3="High",3)))</f>
        <v>1</v>
      </c>
      <c r="L3" s="52" t="s">
        <v>45</v>
      </c>
      <c r="M3" s="80">
        <f>H3/F3</f>
        <v>0.18309859154929578</v>
      </c>
      <c r="N3" s="52">
        <f>F3/G3*100</f>
        <v>84.523809523809518</v>
      </c>
    </row>
    <row r="4" spans="1:14">
      <c r="A4" s="52">
        <v>46129</v>
      </c>
      <c r="B4" s="52" t="s">
        <v>32</v>
      </c>
      <c r="C4" s="52" t="s">
        <v>41</v>
      </c>
      <c r="D4" s="52" t="s">
        <v>31</v>
      </c>
      <c r="E4" s="52">
        <v>3550</v>
      </c>
      <c r="F4" s="52">
        <f t="shared" ref="F4:F62" si="0">E4/100</f>
        <v>35.5</v>
      </c>
      <c r="G4" s="52">
        <v>42</v>
      </c>
      <c r="H4" s="52">
        <f t="shared" ref="H4:H67" si="1">G4-F4</f>
        <v>6.5</v>
      </c>
      <c r="I4" s="52">
        <v>180</v>
      </c>
      <c r="J4" s="52" t="s">
        <v>50</v>
      </c>
      <c r="K4" s="52">
        <f t="shared" ref="K4:K67" si="2">IF(J4="Low",1,IF(J4="Medium",2,IF(J4="High",3)))</f>
        <v>1</v>
      </c>
      <c r="L4" s="52" t="s">
        <v>45</v>
      </c>
      <c r="M4" s="80">
        <f t="shared" ref="M4:M67" si="3">H4/F4</f>
        <v>0.18309859154929578</v>
      </c>
      <c r="N4" s="52">
        <f t="shared" ref="N4:N67" si="4">F4/G4*100</f>
        <v>84.523809523809518</v>
      </c>
    </row>
    <row r="5" spans="1:14">
      <c r="A5" s="52">
        <v>46122</v>
      </c>
      <c r="B5" s="52" t="s">
        <v>32</v>
      </c>
      <c r="C5" s="52" t="s">
        <v>41</v>
      </c>
      <c r="D5" s="52" t="s">
        <v>31</v>
      </c>
      <c r="E5" s="52">
        <v>3550</v>
      </c>
      <c r="F5" s="52">
        <f t="shared" si="0"/>
        <v>35.5</v>
      </c>
      <c r="G5" s="52">
        <v>42</v>
      </c>
      <c r="H5" s="52">
        <f t="shared" si="1"/>
        <v>6.5</v>
      </c>
      <c r="I5" s="52">
        <v>180</v>
      </c>
      <c r="J5" s="52" t="s">
        <v>50</v>
      </c>
      <c r="K5" s="52">
        <f t="shared" si="2"/>
        <v>1</v>
      </c>
      <c r="L5" s="52" t="s">
        <v>45</v>
      </c>
      <c r="M5" s="80">
        <f t="shared" si="3"/>
        <v>0.18309859154929578</v>
      </c>
      <c r="N5" s="52">
        <f t="shared" si="4"/>
        <v>84.523809523809518</v>
      </c>
    </row>
    <row r="6" spans="1:14">
      <c r="A6" s="52">
        <v>46114</v>
      </c>
      <c r="B6" s="52" t="s">
        <v>32</v>
      </c>
      <c r="C6" s="52" t="s">
        <v>41</v>
      </c>
      <c r="D6" s="52" t="s">
        <v>31</v>
      </c>
      <c r="E6" s="52">
        <v>3550</v>
      </c>
      <c r="F6" s="52">
        <f t="shared" si="0"/>
        <v>35.5</v>
      </c>
      <c r="G6" s="52">
        <v>42</v>
      </c>
      <c r="H6" s="52">
        <f t="shared" si="1"/>
        <v>6.5</v>
      </c>
      <c r="I6" s="52">
        <v>180</v>
      </c>
      <c r="J6" s="52" t="s">
        <v>50</v>
      </c>
      <c r="K6" s="52">
        <f t="shared" si="2"/>
        <v>1</v>
      </c>
      <c r="L6" s="52" t="s">
        <v>45</v>
      </c>
      <c r="M6" s="80">
        <f t="shared" si="3"/>
        <v>0.18309859154929578</v>
      </c>
      <c r="N6" s="52">
        <f t="shared" si="4"/>
        <v>84.523809523809518</v>
      </c>
    </row>
    <row r="7" spans="1:14">
      <c r="A7" s="52">
        <v>46136</v>
      </c>
      <c r="B7" s="52" t="s">
        <v>33</v>
      </c>
      <c r="C7" s="52" t="s">
        <v>2</v>
      </c>
      <c r="D7" s="52" t="s">
        <v>31</v>
      </c>
      <c r="E7" s="52">
        <v>1100</v>
      </c>
      <c r="F7" s="52">
        <f t="shared" si="0"/>
        <v>11</v>
      </c>
      <c r="G7" s="52">
        <v>30</v>
      </c>
      <c r="H7" s="52">
        <f t="shared" si="1"/>
        <v>19</v>
      </c>
      <c r="I7" s="52">
        <v>45</v>
      </c>
      <c r="J7" s="52" t="s">
        <v>51</v>
      </c>
      <c r="K7" s="52">
        <f t="shared" si="2"/>
        <v>2</v>
      </c>
      <c r="L7" s="52" t="s">
        <v>46</v>
      </c>
      <c r="M7" s="80">
        <f t="shared" si="3"/>
        <v>1.7272727272727273</v>
      </c>
      <c r="N7" s="52">
        <f t="shared" si="4"/>
        <v>36.666666666666664</v>
      </c>
    </row>
    <row r="8" spans="1:14">
      <c r="A8" s="52">
        <v>46129</v>
      </c>
      <c r="B8" s="52" t="s">
        <v>33</v>
      </c>
      <c r="C8" s="52" t="s">
        <v>2</v>
      </c>
      <c r="D8" s="52" t="s">
        <v>31</v>
      </c>
      <c r="E8" s="52">
        <v>1225</v>
      </c>
      <c r="F8" s="52">
        <f t="shared" si="0"/>
        <v>12.25</v>
      </c>
      <c r="G8" s="52">
        <v>30</v>
      </c>
      <c r="H8" s="52">
        <f t="shared" si="1"/>
        <v>17.75</v>
      </c>
      <c r="I8" s="52">
        <v>45</v>
      </c>
      <c r="J8" s="52" t="s">
        <v>51</v>
      </c>
      <c r="K8" s="52">
        <f t="shared" si="2"/>
        <v>2</v>
      </c>
      <c r="L8" s="52" t="s">
        <v>46</v>
      </c>
      <c r="M8" s="80">
        <f t="shared" si="3"/>
        <v>1.4489795918367347</v>
      </c>
      <c r="N8" s="52">
        <f t="shared" si="4"/>
        <v>40.833333333333336</v>
      </c>
    </row>
    <row r="9" spans="1:14">
      <c r="A9" s="52">
        <v>46122</v>
      </c>
      <c r="B9" s="52" t="s">
        <v>33</v>
      </c>
      <c r="C9" s="52" t="s">
        <v>2</v>
      </c>
      <c r="D9" s="52" t="s">
        <v>31</v>
      </c>
      <c r="E9" s="52">
        <v>1225</v>
      </c>
      <c r="F9" s="52">
        <f t="shared" si="0"/>
        <v>12.25</v>
      </c>
      <c r="G9" s="52">
        <v>30</v>
      </c>
      <c r="H9" s="52">
        <f t="shared" si="1"/>
        <v>17.75</v>
      </c>
      <c r="I9" s="52">
        <v>45</v>
      </c>
      <c r="J9" s="52" t="s">
        <v>51</v>
      </c>
      <c r="K9" s="52">
        <f t="shared" si="2"/>
        <v>2</v>
      </c>
      <c r="L9" s="52" t="s">
        <v>46</v>
      </c>
      <c r="M9" s="80">
        <f t="shared" si="3"/>
        <v>1.4489795918367347</v>
      </c>
      <c r="N9" s="52">
        <f t="shared" si="4"/>
        <v>40.833333333333336</v>
      </c>
    </row>
    <row r="10" spans="1:14">
      <c r="A10" s="52">
        <v>46114</v>
      </c>
      <c r="B10" s="52" t="s">
        <v>33</v>
      </c>
      <c r="C10" s="52" t="s">
        <v>2</v>
      </c>
      <c r="D10" s="52" t="s">
        <v>31</v>
      </c>
      <c r="E10" s="52">
        <v>1200</v>
      </c>
      <c r="F10" s="52">
        <f t="shared" si="0"/>
        <v>12</v>
      </c>
      <c r="G10" s="52">
        <v>16</v>
      </c>
      <c r="H10" s="52">
        <f t="shared" si="1"/>
        <v>4</v>
      </c>
      <c r="I10" s="52">
        <v>45</v>
      </c>
      <c r="J10" s="52" t="s">
        <v>51</v>
      </c>
      <c r="K10" s="52">
        <f t="shared" si="2"/>
        <v>2</v>
      </c>
      <c r="L10" s="52" t="s">
        <v>46</v>
      </c>
      <c r="M10" s="80">
        <f t="shared" si="3"/>
        <v>0.33333333333333331</v>
      </c>
      <c r="N10" s="52">
        <f t="shared" si="4"/>
        <v>75</v>
      </c>
    </row>
    <row r="11" spans="1:14">
      <c r="A11" s="52">
        <v>46136</v>
      </c>
      <c r="B11" s="52" t="s">
        <v>35</v>
      </c>
      <c r="C11" s="52" t="s">
        <v>2</v>
      </c>
      <c r="D11" s="52" t="s">
        <v>31</v>
      </c>
      <c r="E11" s="52">
        <v>1920</v>
      </c>
      <c r="F11" s="52">
        <f t="shared" si="0"/>
        <v>19.2</v>
      </c>
      <c r="G11" s="52">
        <v>50</v>
      </c>
      <c r="H11" s="52">
        <f t="shared" si="1"/>
        <v>30.8</v>
      </c>
      <c r="I11" s="52">
        <v>5</v>
      </c>
      <c r="J11" s="52" t="s">
        <v>52</v>
      </c>
      <c r="K11" s="52">
        <f t="shared" si="2"/>
        <v>3</v>
      </c>
      <c r="L11" s="52" t="s">
        <v>47</v>
      </c>
      <c r="M11" s="80">
        <f t="shared" si="3"/>
        <v>1.6041666666666667</v>
      </c>
      <c r="N11" s="52">
        <f t="shared" si="4"/>
        <v>38.4</v>
      </c>
    </row>
    <row r="12" spans="1:14">
      <c r="A12" s="52">
        <v>46129</v>
      </c>
      <c r="B12" s="52" t="s">
        <v>35</v>
      </c>
      <c r="C12" s="52" t="s">
        <v>2</v>
      </c>
      <c r="D12" s="52" t="s">
        <v>31</v>
      </c>
      <c r="E12" s="52">
        <v>2000</v>
      </c>
      <c r="F12" s="52">
        <f t="shared" si="0"/>
        <v>20</v>
      </c>
      <c r="G12" s="52">
        <v>50</v>
      </c>
      <c r="H12" s="52">
        <f t="shared" si="1"/>
        <v>30</v>
      </c>
      <c r="I12" s="52">
        <v>5</v>
      </c>
      <c r="J12" s="52" t="s">
        <v>52</v>
      </c>
      <c r="K12" s="52">
        <f t="shared" si="2"/>
        <v>3</v>
      </c>
      <c r="L12" s="52" t="s">
        <v>47</v>
      </c>
      <c r="M12" s="80">
        <f t="shared" si="3"/>
        <v>1.5</v>
      </c>
      <c r="N12" s="52">
        <f t="shared" si="4"/>
        <v>40</v>
      </c>
    </row>
    <row r="13" spans="1:14">
      <c r="A13" s="52">
        <v>46122</v>
      </c>
      <c r="B13" s="52" t="s">
        <v>35</v>
      </c>
      <c r="C13" s="52" t="s">
        <v>2</v>
      </c>
      <c r="D13" s="52" t="s">
        <v>31</v>
      </c>
      <c r="E13" s="52">
        <v>1850</v>
      </c>
      <c r="F13" s="52">
        <f t="shared" si="0"/>
        <v>18.5</v>
      </c>
      <c r="G13" s="52">
        <v>52</v>
      </c>
      <c r="H13" s="52">
        <f t="shared" si="1"/>
        <v>33.5</v>
      </c>
      <c r="I13" s="52">
        <v>5</v>
      </c>
      <c r="J13" s="52" t="s">
        <v>52</v>
      </c>
      <c r="K13" s="52">
        <f t="shared" si="2"/>
        <v>3</v>
      </c>
      <c r="L13" s="52" t="s">
        <v>47</v>
      </c>
      <c r="M13" s="80">
        <f t="shared" si="3"/>
        <v>1.8108108108108107</v>
      </c>
      <c r="N13" s="52">
        <f t="shared" si="4"/>
        <v>35.57692307692308</v>
      </c>
    </row>
    <row r="14" spans="1:14">
      <c r="A14" s="52">
        <v>46114</v>
      </c>
      <c r="B14" s="52" t="s">
        <v>35</v>
      </c>
      <c r="C14" s="52" t="s">
        <v>2</v>
      </c>
      <c r="D14" s="52" t="s">
        <v>31</v>
      </c>
      <c r="E14" s="52">
        <v>1815</v>
      </c>
      <c r="F14" s="52">
        <f t="shared" si="0"/>
        <v>18.149999999999999</v>
      </c>
      <c r="G14" s="52">
        <v>50</v>
      </c>
      <c r="H14" s="52">
        <f t="shared" si="1"/>
        <v>31.85</v>
      </c>
      <c r="I14" s="52">
        <v>5</v>
      </c>
      <c r="J14" s="52" t="s">
        <v>52</v>
      </c>
      <c r="K14" s="52">
        <f t="shared" si="2"/>
        <v>3</v>
      </c>
      <c r="L14" s="52" t="s">
        <v>47</v>
      </c>
      <c r="M14" s="80">
        <f t="shared" si="3"/>
        <v>1.7548209366391188</v>
      </c>
      <c r="N14" s="52">
        <f t="shared" si="4"/>
        <v>36.299999999999997</v>
      </c>
    </row>
    <row r="15" spans="1:14">
      <c r="A15" s="52">
        <v>46136</v>
      </c>
      <c r="B15" s="52" t="s">
        <v>36</v>
      </c>
      <c r="C15" s="52" t="s">
        <v>41</v>
      </c>
      <c r="D15" s="52" t="s">
        <v>31</v>
      </c>
      <c r="E15" s="52">
        <v>2700</v>
      </c>
      <c r="F15" s="52">
        <f t="shared" si="0"/>
        <v>27</v>
      </c>
      <c r="G15" s="52">
        <v>33</v>
      </c>
      <c r="H15" s="52">
        <f t="shared" si="1"/>
        <v>6</v>
      </c>
      <c r="I15" s="52">
        <v>150</v>
      </c>
      <c r="J15" s="52" t="s">
        <v>50</v>
      </c>
      <c r="K15" s="52">
        <f t="shared" si="2"/>
        <v>1</v>
      </c>
      <c r="L15" s="52" t="s">
        <v>45</v>
      </c>
      <c r="M15" s="80">
        <f t="shared" si="3"/>
        <v>0.22222222222222221</v>
      </c>
      <c r="N15" s="52">
        <f t="shared" si="4"/>
        <v>81.818181818181827</v>
      </c>
    </row>
    <row r="16" spans="1:14">
      <c r="A16" s="52">
        <v>46129</v>
      </c>
      <c r="B16" s="52" t="s">
        <v>36</v>
      </c>
      <c r="C16" s="52" t="s">
        <v>41</v>
      </c>
      <c r="D16" s="52" t="s">
        <v>31</v>
      </c>
      <c r="E16" s="52">
        <v>2700</v>
      </c>
      <c r="F16" s="52">
        <f t="shared" si="0"/>
        <v>27</v>
      </c>
      <c r="G16" s="52">
        <v>33</v>
      </c>
      <c r="H16" s="52">
        <f t="shared" si="1"/>
        <v>6</v>
      </c>
      <c r="I16" s="52">
        <v>150</v>
      </c>
      <c r="J16" s="52" t="s">
        <v>50</v>
      </c>
      <c r="K16" s="52">
        <f t="shared" si="2"/>
        <v>1</v>
      </c>
      <c r="L16" s="52" t="s">
        <v>45</v>
      </c>
      <c r="M16" s="80">
        <f t="shared" si="3"/>
        <v>0.22222222222222221</v>
      </c>
      <c r="N16" s="52">
        <f t="shared" si="4"/>
        <v>81.818181818181827</v>
      </c>
    </row>
    <row r="17" spans="1:14">
      <c r="A17" s="52">
        <v>46122</v>
      </c>
      <c r="B17" s="52" t="s">
        <v>36</v>
      </c>
      <c r="C17" s="52" t="s">
        <v>41</v>
      </c>
      <c r="D17" s="52" t="s">
        <v>31</v>
      </c>
      <c r="E17" s="52">
        <v>2725</v>
      </c>
      <c r="F17" s="52">
        <f t="shared" si="0"/>
        <v>27.25</v>
      </c>
      <c r="G17" s="52">
        <v>33</v>
      </c>
      <c r="H17" s="52">
        <f t="shared" si="1"/>
        <v>5.75</v>
      </c>
      <c r="I17" s="52">
        <v>150</v>
      </c>
      <c r="J17" s="52" t="s">
        <v>50</v>
      </c>
      <c r="K17" s="52">
        <f t="shared" si="2"/>
        <v>1</v>
      </c>
      <c r="L17" s="52" t="s">
        <v>45</v>
      </c>
      <c r="M17" s="80">
        <f t="shared" si="3"/>
        <v>0.21100917431192662</v>
      </c>
      <c r="N17" s="52">
        <f t="shared" si="4"/>
        <v>82.575757575757578</v>
      </c>
    </row>
    <row r="18" spans="1:14">
      <c r="A18" s="52">
        <v>46114</v>
      </c>
      <c r="B18" s="52" t="s">
        <v>36</v>
      </c>
      <c r="C18" s="52" t="s">
        <v>41</v>
      </c>
      <c r="D18" s="52" t="s">
        <v>31</v>
      </c>
      <c r="E18" s="52">
        <v>2725</v>
      </c>
      <c r="F18" s="52">
        <f t="shared" si="0"/>
        <v>27.25</v>
      </c>
      <c r="G18" s="52">
        <v>33</v>
      </c>
      <c r="H18" s="52">
        <f t="shared" si="1"/>
        <v>5.75</v>
      </c>
      <c r="I18" s="52">
        <v>150</v>
      </c>
      <c r="J18" s="52" t="s">
        <v>50</v>
      </c>
      <c r="K18" s="52">
        <f t="shared" si="2"/>
        <v>1</v>
      </c>
      <c r="L18" s="52" t="s">
        <v>45</v>
      </c>
      <c r="M18" s="80">
        <f t="shared" si="3"/>
        <v>0.21100917431192662</v>
      </c>
      <c r="N18" s="52">
        <f t="shared" si="4"/>
        <v>82.575757575757578</v>
      </c>
    </row>
    <row r="19" spans="1:14">
      <c r="A19" s="52">
        <v>46136</v>
      </c>
      <c r="B19" s="52" t="s">
        <v>37</v>
      </c>
      <c r="C19" s="52" t="s">
        <v>2</v>
      </c>
      <c r="D19" s="52" t="s">
        <v>31</v>
      </c>
      <c r="E19" s="52">
        <v>3200</v>
      </c>
      <c r="F19" s="52">
        <f t="shared" si="0"/>
        <v>32</v>
      </c>
      <c r="G19" s="52">
        <v>60</v>
      </c>
      <c r="H19" s="52">
        <f t="shared" si="1"/>
        <v>28</v>
      </c>
      <c r="I19" s="52">
        <v>4</v>
      </c>
      <c r="J19" s="52" t="s">
        <v>52</v>
      </c>
      <c r="K19" s="52">
        <f t="shared" si="2"/>
        <v>3</v>
      </c>
      <c r="L19" s="52" t="s">
        <v>48</v>
      </c>
      <c r="M19" s="80">
        <f t="shared" si="3"/>
        <v>0.875</v>
      </c>
      <c r="N19" s="52">
        <f t="shared" si="4"/>
        <v>53.333333333333336</v>
      </c>
    </row>
    <row r="20" spans="1:14">
      <c r="A20" s="52">
        <v>46129</v>
      </c>
      <c r="B20" s="52" t="s">
        <v>37</v>
      </c>
      <c r="C20" s="52" t="s">
        <v>2</v>
      </c>
      <c r="D20" s="52" t="s">
        <v>31</v>
      </c>
      <c r="E20" s="52">
        <v>3000</v>
      </c>
      <c r="F20" s="52">
        <f t="shared" si="0"/>
        <v>30</v>
      </c>
      <c r="G20" s="52">
        <v>67</v>
      </c>
      <c r="H20" s="52">
        <f t="shared" si="1"/>
        <v>37</v>
      </c>
      <c r="I20" s="52">
        <v>4</v>
      </c>
      <c r="J20" s="52" t="s">
        <v>52</v>
      </c>
      <c r="K20" s="52">
        <f t="shared" si="2"/>
        <v>3</v>
      </c>
      <c r="L20" s="52" t="s">
        <v>48</v>
      </c>
      <c r="M20" s="80">
        <f t="shared" si="3"/>
        <v>1.2333333333333334</v>
      </c>
      <c r="N20" s="52">
        <f t="shared" si="4"/>
        <v>44.776119402985074</v>
      </c>
    </row>
    <row r="21" spans="1:14">
      <c r="A21" s="52">
        <v>46122</v>
      </c>
      <c r="B21" s="52" t="s">
        <v>37</v>
      </c>
      <c r="C21" s="52" t="s">
        <v>2</v>
      </c>
      <c r="D21" s="52" t="s">
        <v>31</v>
      </c>
      <c r="E21" s="52">
        <v>3000</v>
      </c>
      <c r="F21" s="52">
        <f t="shared" si="0"/>
        <v>30</v>
      </c>
      <c r="G21" s="52">
        <v>47</v>
      </c>
      <c r="H21" s="52">
        <f t="shared" si="1"/>
        <v>17</v>
      </c>
      <c r="I21" s="52">
        <v>4</v>
      </c>
      <c r="J21" s="52" t="s">
        <v>52</v>
      </c>
      <c r="K21" s="52">
        <f t="shared" si="2"/>
        <v>3</v>
      </c>
      <c r="L21" s="52" t="s">
        <v>48</v>
      </c>
      <c r="M21" s="80">
        <f t="shared" si="3"/>
        <v>0.56666666666666665</v>
      </c>
      <c r="N21" s="52">
        <f t="shared" si="4"/>
        <v>63.829787234042556</v>
      </c>
    </row>
    <row r="22" spans="1:14">
      <c r="A22" s="52">
        <v>46114</v>
      </c>
      <c r="B22" s="52" t="s">
        <v>37</v>
      </c>
      <c r="C22" s="52" t="s">
        <v>2</v>
      </c>
      <c r="D22" s="52" t="s">
        <v>31</v>
      </c>
      <c r="E22" s="52">
        <v>1500</v>
      </c>
      <c r="F22" s="52">
        <f t="shared" si="0"/>
        <v>15</v>
      </c>
      <c r="G22" s="52">
        <v>50</v>
      </c>
      <c r="H22" s="52">
        <f t="shared" si="1"/>
        <v>35</v>
      </c>
      <c r="I22" s="52">
        <v>4</v>
      </c>
      <c r="J22" s="52" t="s">
        <v>52</v>
      </c>
      <c r="K22" s="52">
        <f t="shared" si="2"/>
        <v>3</v>
      </c>
      <c r="L22" s="52" t="s">
        <v>48</v>
      </c>
      <c r="M22" s="80">
        <f t="shared" si="3"/>
        <v>2.3333333333333335</v>
      </c>
      <c r="N22" s="52">
        <f t="shared" si="4"/>
        <v>30</v>
      </c>
    </row>
    <row r="23" spans="1:14">
      <c r="A23" s="52">
        <v>46136</v>
      </c>
      <c r="B23" s="52" t="s">
        <v>34</v>
      </c>
      <c r="C23" s="52" t="s">
        <v>2</v>
      </c>
      <c r="D23" s="52" t="s">
        <v>31</v>
      </c>
      <c r="E23" s="52">
        <v>590</v>
      </c>
      <c r="F23" s="52">
        <f t="shared" si="0"/>
        <v>5.9</v>
      </c>
      <c r="G23" s="52">
        <v>15</v>
      </c>
      <c r="H23" s="52">
        <f t="shared" si="1"/>
        <v>9.1</v>
      </c>
      <c r="I23" s="52">
        <v>60</v>
      </c>
      <c r="J23" s="52" t="s">
        <v>50</v>
      </c>
      <c r="K23" s="52">
        <f t="shared" si="2"/>
        <v>1</v>
      </c>
      <c r="L23" s="52" t="s">
        <v>45</v>
      </c>
      <c r="M23" s="80">
        <f t="shared" si="3"/>
        <v>1.5423728813559321</v>
      </c>
      <c r="N23" s="52">
        <f t="shared" si="4"/>
        <v>39.333333333333336</v>
      </c>
    </row>
    <row r="24" spans="1:14">
      <c r="A24" s="52">
        <v>46129</v>
      </c>
      <c r="B24" s="52" t="s">
        <v>34</v>
      </c>
      <c r="C24" s="52" t="s">
        <v>2</v>
      </c>
      <c r="D24" s="52" t="s">
        <v>31</v>
      </c>
      <c r="E24" s="52">
        <v>434</v>
      </c>
      <c r="F24" s="52">
        <f t="shared" si="0"/>
        <v>4.34</v>
      </c>
      <c r="G24" s="52">
        <v>16</v>
      </c>
      <c r="H24" s="52">
        <f t="shared" si="1"/>
        <v>11.66</v>
      </c>
      <c r="I24" s="52">
        <v>60</v>
      </c>
      <c r="J24" s="52" t="s">
        <v>50</v>
      </c>
      <c r="K24" s="52">
        <f t="shared" si="2"/>
        <v>1</v>
      </c>
      <c r="L24" s="52" t="s">
        <v>45</v>
      </c>
      <c r="M24" s="80">
        <f t="shared" si="3"/>
        <v>2.6866359447004609</v>
      </c>
      <c r="N24" s="52">
        <f t="shared" si="4"/>
        <v>27.125</v>
      </c>
    </row>
    <row r="25" spans="1:14">
      <c r="A25" s="52">
        <v>46122</v>
      </c>
      <c r="B25" s="52" t="s">
        <v>34</v>
      </c>
      <c r="C25" s="52" t="s">
        <v>2</v>
      </c>
      <c r="D25" s="52" t="s">
        <v>31</v>
      </c>
      <c r="E25" s="52">
        <v>434</v>
      </c>
      <c r="F25" s="52">
        <f t="shared" si="0"/>
        <v>4.34</v>
      </c>
      <c r="G25" s="52">
        <v>17</v>
      </c>
      <c r="H25" s="52">
        <f t="shared" si="1"/>
        <v>12.66</v>
      </c>
      <c r="I25" s="52">
        <v>60</v>
      </c>
      <c r="J25" s="52" t="s">
        <v>50</v>
      </c>
      <c r="K25" s="52">
        <f t="shared" si="2"/>
        <v>1</v>
      </c>
      <c r="L25" s="52" t="s">
        <v>45</v>
      </c>
      <c r="M25" s="80">
        <f t="shared" si="3"/>
        <v>2.9170506912442398</v>
      </c>
      <c r="N25" s="52">
        <f t="shared" si="4"/>
        <v>25.529411764705884</v>
      </c>
    </row>
    <row r="26" spans="1:14">
      <c r="A26" s="52">
        <v>46114</v>
      </c>
      <c r="B26" s="52" t="s">
        <v>34</v>
      </c>
      <c r="C26" s="52" t="s">
        <v>2</v>
      </c>
      <c r="D26" s="52" t="s">
        <v>31</v>
      </c>
      <c r="E26" s="52">
        <v>425</v>
      </c>
      <c r="F26" s="52">
        <f t="shared" si="0"/>
        <v>4.25</v>
      </c>
      <c r="G26" s="52">
        <v>15</v>
      </c>
      <c r="H26" s="52">
        <f t="shared" si="1"/>
        <v>10.75</v>
      </c>
      <c r="I26" s="52">
        <v>60</v>
      </c>
      <c r="J26" s="52" t="s">
        <v>50</v>
      </c>
      <c r="K26" s="52">
        <f t="shared" si="2"/>
        <v>1</v>
      </c>
      <c r="L26" s="52" t="s">
        <v>45</v>
      </c>
      <c r="M26" s="80">
        <f t="shared" si="3"/>
        <v>2.5294117647058822</v>
      </c>
      <c r="N26" s="52">
        <f t="shared" si="4"/>
        <v>28.333333333333332</v>
      </c>
    </row>
    <row r="27" spans="1:14">
      <c r="A27" s="52">
        <v>46136</v>
      </c>
      <c r="B27" s="52" t="s">
        <v>38</v>
      </c>
      <c r="C27" s="52" t="s">
        <v>2</v>
      </c>
      <c r="D27" s="52" t="s">
        <v>31</v>
      </c>
      <c r="E27" s="52">
        <v>1600</v>
      </c>
      <c r="F27" s="52">
        <f t="shared" si="0"/>
        <v>16</v>
      </c>
      <c r="G27" s="52">
        <v>40</v>
      </c>
      <c r="H27" s="52">
        <f t="shared" si="1"/>
        <v>24</v>
      </c>
      <c r="I27" s="52">
        <v>7</v>
      </c>
      <c r="J27" s="52" t="s">
        <v>52</v>
      </c>
      <c r="K27" s="52">
        <f t="shared" si="2"/>
        <v>3</v>
      </c>
      <c r="L27" s="52" t="s">
        <v>47</v>
      </c>
      <c r="M27" s="80">
        <f t="shared" si="3"/>
        <v>1.5</v>
      </c>
      <c r="N27" s="52">
        <f t="shared" si="4"/>
        <v>40</v>
      </c>
    </row>
    <row r="28" spans="1:14">
      <c r="A28" s="52">
        <v>46129</v>
      </c>
      <c r="B28" s="52" t="s">
        <v>38</v>
      </c>
      <c r="C28" s="52" t="s">
        <v>2</v>
      </c>
      <c r="D28" s="52" t="s">
        <v>31</v>
      </c>
      <c r="E28" s="52">
        <v>2050</v>
      </c>
      <c r="F28" s="52">
        <f t="shared" si="0"/>
        <v>20.5</v>
      </c>
      <c r="G28" s="52">
        <v>35</v>
      </c>
      <c r="H28" s="52">
        <f t="shared" si="1"/>
        <v>14.5</v>
      </c>
      <c r="I28" s="52">
        <v>7</v>
      </c>
      <c r="J28" s="52" t="s">
        <v>52</v>
      </c>
      <c r="K28" s="52">
        <f t="shared" si="2"/>
        <v>3</v>
      </c>
      <c r="L28" s="52" t="s">
        <v>47</v>
      </c>
      <c r="M28" s="80">
        <f t="shared" si="3"/>
        <v>0.70731707317073167</v>
      </c>
      <c r="N28" s="52">
        <f t="shared" si="4"/>
        <v>58.571428571428577</v>
      </c>
    </row>
    <row r="29" spans="1:14">
      <c r="A29" s="52">
        <v>46122</v>
      </c>
      <c r="B29" s="52" t="s">
        <v>38</v>
      </c>
      <c r="C29" s="52" t="s">
        <v>2</v>
      </c>
      <c r="D29" s="52" t="s">
        <v>31</v>
      </c>
      <c r="E29" s="52">
        <v>1120</v>
      </c>
      <c r="F29" s="52">
        <f t="shared" si="0"/>
        <v>11.2</v>
      </c>
      <c r="G29" s="52">
        <v>28</v>
      </c>
      <c r="H29" s="52">
        <f t="shared" si="1"/>
        <v>16.8</v>
      </c>
      <c r="I29" s="52">
        <v>7</v>
      </c>
      <c r="J29" s="52" t="s">
        <v>52</v>
      </c>
      <c r="K29" s="52">
        <f t="shared" si="2"/>
        <v>3</v>
      </c>
      <c r="L29" s="52" t="s">
        <v>47</v>
      </c>
      <c r="M29" s="80">
        <f t="shared" si="3"/>
        <v>1.5000000000000002</v>
      </c>
      <c r="N29" s="52">
        <f t="shared" si="4"/>
        <v>40</v>
      </c>
    </row>
    <row r="30" spans="1:14">
      <c r="A30" s="52">
        <v>46114</v>
      </c>
      <c r="B30" s="52" t="s">
        <v>38</v>
      </c>
      <c r="C30" s="52" t="s">
        <v>2</v>
      </c>
      <c r="D30" s="52" t="s">
        <v>31</v>
      </c>
      <c r="E30" s="52">
        <v>1330</v>
      </c>
      <c r="F30" s="52">
        <f t="shared" si="0"/>
        <v>13.3</v>
      </c>
      <c r="G30" s="52">
        <v>25</v>
      </c>
      <c r="H30" s="52">
        <f t="shared" si="1"/>
        <v>11.7</v>
      </c>
      <c r="I30" s="52">
        <v>7</v>
      </c>
      <c r="J30" s="52" t="s">
        <v>52</v>
      </c>
      <c r="K30" s="52">
        <f t="shared" si="2"/>
        <v>3</v>
      </c>
      <c r="L30" s="52" t="s">
        <v>47</v>
      </c>
      <c r="M30" s="80">
        <f t="shared" si="3"/>
        <v>0.87969924812030065</v>
      </c>
      <c r="N30" s="52">
        <f t="shared" si="4"/>
        <v>53.2</v>
      </c>
    </row>
    <row r="31" spans="1:14">
      <c r="A31" s="52">
        <v>46136</v>
      </c>
      <c r="B31" s="52" t="s">
        <v>39</v>
      </c>
      <c r="C31" s="52" t="s">
        <v>2</v>
      </c>
      <c r="D31" s="52" t="s">
        <v>31</v>
      </c>
      <c r="E31" s="52">
        <v>5200</v>
      </c>
      <c r="F31" s="52">
        <f t="shared" si="0"/>
        <v>52</v>
      </c>
      <c r="G31" s="52">
        <v>120</v>
      </c>
      <c r="H31" s="52">
        <f t="shared" si="1"/>
        <v>68</v>
      </c>
      <c r="I31" s="52">
        <v>90</v>
      </c>
      <c r="J31" s="52" t="s">
        <v>51</v>
      </c>
      <c r="K31" s="52">
        <f t="shared" si="2"/>
        <v>2</v>
      </c>
      <c r="L31" s="52" t="s">
        <v>46</v>
      </c>
      <c r="M31" s="80">
        <f t="shared" si="3"/>
        <v>1.3076923076923077</v>
      </c>
      <c r="N31" s="52">
        <f t="shared" si="4"/>
        <v>43.333333333333336</v>
      </c>
    </row>
    <row r="32" spans="1:14">
      <c r="A32" s="52">
        <v>46129</v>
      </c>
      <c r="B32" s="52" t="s">
        <v>39</v>
      </c>
      <c r="C32" s="52" t="s">
        <v>2</v>
      </c>
      <c r="D32" s="52" t="s">
        <v>31</v>
      </c>
      <c r="E32" s="52">
        <v>5100</v>
      </c>
      <c r="F32" s="52">
        <f t="shared" si="0"/>
        <v>51</v>
      </c>
      <c r="G32" s="52">
        <v>113</v>
      </c>
      <c r="H32" s="52">
        <f t="shared" si="1"/>
        <v>62</v>
      </c>
      <c r="I32" s="52">
        <v>90</v>
      </c>
      <c r="J32" s="52" t="s">
        <v>51</v>
      </c>
      <c r="K32" s="52">
        <f t="shared" si="2"/>
        <v>2</v>
      </c>
      <c r="L32" s="52" t="s">
        <v>46</v>
      </c>
      <c r="M32" s="80">
        <f t="shared" si="3"/>
        <v>1.2156862745098038</v>
      </c>
      <c r="N32" s="52">
        <f t="shared" si="4"/>
        <v>45.132743362831853</v>
      </c>
    </row>
    <row r="33" spans="1:14">
      <c r="A33" s="52">
        <v>46122</v>
      </c>
      <c r="B33" s="52" t="s">
        <v>39</v>
      </c>
      <c r="C33" s="52" t="s">
        <v>2</v>
      </c>
      <c r="D33" s="52" t="s">
        <v>31</v>
      </c>
      <c r="E33" s="52">
        <v>5100</v>
      </c>
      <c r="F33" s="52">
        <f t="shared" si="0"/>
        <v>51</v>
      </c>
      <c r="G33" s="52">
        <v>107</v>
      </c>
      <c r="H33" s="52">
        <f t="shared" si="1"/>
        <v>56</v>
      </c>
      <c r="I33" s="52">
        <v>90</v>
      </c>
      <c r="J33" s="52" t="s">
        <v>51</v>
      </c>
      <c r="K33" s="52">
        <f t="shared" si="2"/>
        <v>2</v>
      </c>
      <c r="L33" s="52" t="s">
        <v>46</v>
      </c>
      <c r="M33" s="80">
        <f t="shared" si="3"/>
        <v>1.0980392156862746</v>
      </c>
      <c r="N33" s="52">
        <f t="shared" si="4"/>
        <v>47.663551401869157</v>
      </c>
    </row>
    <row r="34" spans="1:14">
      <c r="A34" s="52">
        <v>46114</v>
      </c>
      <c r="B34" s="52" t="s">
        <v>39</v>
      </c>
      <c r="C34" s="52" t="s">
        <v>2</v>
      </c>
      <c r="D34" s="52" t="s">
        <v>31</v>
      </c>
      <c r="E34" s="52">
        <v>4500</v>
      </c>
      <c r="F34" s="52">
        <f t="shared" si="0"/>
        <v>45</v>
      </c>
      <c r="G34" s="52">
        <v>100</v>
      </c>
      <c r="H34" s="52">
        <f t="shared" si="1"/>
        <v>55</v>
      </c>
      <c r="I34" s="52">
        <v>90</v>
      </c>
      <c r="J34" s="52" t="s">
        <v>51</v>
      </c>
      <c r="K34" s="52">
        <f t="shared" si="2"/>
        <v>2</v>
      </c>
      <c r="L34" s="52" t="s">
        <v>46</v>
      </c>
      <c r="M34" s="80">
        <f t="shared" si="3"/>
        <v>1.2222222222222223</v>
      </c>
      <c r="N34" s="52">
        <f t="shared" si="4"/>
        <v>45</v>
      </c>
    </row>
    <row r="35" spans="1:14">
      <c r="A35" s="52">
        <v>46136</v>
      </c>
      <c r="B35" s="52" t="s">
        <v>40</v>
      </c>
      <c r="C35" s="52" t="s">
        <v>2</v>
      </c>
      <c r="D35" s="52" t="s">
        <v>31</v>
      </c>
      <c r="E35" s="52">
        <v>1900</v>
      </c>
      <c r="F35" s="52">
        <f t="shared" si="0"/>
        <v>19</v>
      </c>
      <c r="G35" s="52">
        <v>60</v>
      </c>
      <c r="H35" s="52">
        <f t="shared" si="1"/>
        <v>41</v>
      </c>
      <c r="I35" s="52">
        <v>3</v>
      </c>
      <c r="J35" s="52" t="s">
        <v>52</v>
      </c>
      <c r="K35" s="52">
        <f t="shared" si="2"/>
        <v>3</v>
      </c>
      <c r="L35" s="52" t="s">
        <v>47</v>
      </c>
      <c r="M35" s="80">
        <f t="shared" si="3"/>
        <v>2.1578947368421053</v>
      </c>
      <c r="N35" s="52">
        <f t="shared" si="4"/>
        <v>31.666666666666664</v>
      </c>
    </row>
    <row r="36" spans="1:14">
      <c r="A36" s="52">
        <v>46129</v>
      </c>
      <c r="B36" s="52" t="s">
        <v>40</v>
      </c>
      <c r="C36" s="52" t="s">
        <v>2</v>
      </c>
      <c r="D36" s="52" t="s">
        <v>31</v>
      </c>
      <c r="E36" s="52">
        <v>2500</v>
      </c>
      <c r="F36" s="52">
        <f t="shared" si="0"/>
        <v>25</v>
      </c>
      <c r="G36" s="52">
        <v>83</v>
      </c>
      <c r="H36" s="52">
        <f t="shared" si="1"/>
        <v>58</v>
      </c>
      <c r="I36" s="52">
        <v>3</v>
      </c>
      <c r="J36" s="52" t="s">
        <v>52</v>
      </c>
      <c r="K36" s="52">
        <f t="shared" si="2"/>
        <v>3</v>
      </c>
      <c r="L36" s="52" t="s">
        <v>47</v>
      </c>
      <c r="M36" s="80">
        <f t="shared" si="3"/>
        <v>2.3199999999999998</v>
      </c>
      <c r="N36" s="52">
        <f t="shared" si="4"/>
        <v>30.120481927710845</v>
      </c>
    </row>
    <row r="37" spans="1:14">
      <c r="A37" s="52">
        <v>46122</v>
      </c>
      <c r="B37" s="52" t="s">
        <v>40</v>
      </c>
      <c r="C37" s="52" t="s">
        <v>2</v>
      </c>
      <c r="D37" s="52" t="s">
        <v>31</v>
      </c>
      <c r="E37" s="52">
        <v>3100</v>
      </c>
      <c r="F37" s="52">
        <f t="shared" si="0"/>
        <v>31</v>
      </c>
      <c r="G37" s="52">
        <v>87</v>
      </c>
      <c r="H37" s="52">
        <f t="shared" si="1"/>
        <v>56</v>
      </c>
      <c r="I37" s="52">
        <v>3</v>
      </c>
      <c r="J37" s="52" t="s">
        <v>52</v>
      </c>
      <c r="K37" s="52">
        <f t="shared" si="2"/>
        <v>3</v>
      </c>
      <c r="L37" s="52" t="s">
        <v>47</v>
      </c>
      <c r="M37" s="80">
        <f t="shared" si="3"/>
        <v>1.8064516129032258</v>
      </c>
      <c r="N37" s="52">
        <f t="shared" si="4"/>
        <v>35.632183908045981</v>
      </c>
    </row>
    <row r="38" spans="1:14">
      <c r="A38" s="52">
        <v>46114</v>
      </c>
      <c r="B38" s="52" t="s">
        <v>40</v>
      </c>
      <c r="C38" s="52" t="s">
        <v>2</v>
      </c>
      <c r="D38" s="52" t="s">
        <v>31</v>
      </c>
      <c r="E38" s="52">
        <v>3700</v>
      </c>
      <c r="F38" s="52">
        <f t="shared" si="0"/>
        <v>37</v>
      </c>
      <c r="G38" s="52">
        <v>87</v>
      </c>
      <c r="H38" s="52">
        <f t="shared" si="1"/>
        <v>50</v>
      </c>
      <c r="I38" s="52">
        <v>3</v>
      </c>
      <c r="J38" s="52" t="s">
        <v>52</v>
      </c>
      <c r="K38" s="52">
        <f t="shared" si="2"/>
        <v>3</v>
      </c>
      <c r="L38" s="52" t="s">
        <v>47</v>
      </c>
      <c r="M38" s="80">
        <f t="shared" si="3"/>
        <v>1.3513513513513513</v>
      </c>
      <c r="N38" s="52">
        <f t="shared" si="4"/>
        <v>42.528735632183903</v>
      </c>
    </row>
    <row r="39" spans="1:14">
      <c r="A39" s="52">
        <v>46022</v>
      </c>
      <c r="B39" s="52" t="s">
        <v>32</v>
      </c>
      <c r="C39" s="52" t="s">
        <v>41</v>
      </c>
      <c r="D39" s="52" t="s">
        <v>43</v>
      </c>
      <c r="E39" s="52">
        <v>3700</v>
      </c>
      <c r="F39" s="52">
        <f t="shared" si="0"/>
        <v>37</v>
      </c>
      <c r="G39" s="52">
        <v>43</v>
      </c>
      <c r="H39" s="52">
        <f t="shared" si="1"/>
        <v>6</v>
      </c>
      <c r="I39" s="52">
        <v>180</v>
      </c>
      <c r="J39" s="52" t="s">
        <v>50</v>
      </c>
      <c r="K39" s="52">
        <f t="shared" si="2"/>
        <v>1</v>
      </c>
      <c r="L39" s="52" t="s">
        <v>45</v>
      </c>
      <c r="M39" s="80">
        <f t="shared" si="3"/>
        <v>0.16216216216216217</v>
      </c>
      <c r="N39" s="52">
        <f t="shared" si="4"/>
        <v>86.04651162790698</v>
      </c>
    </row>
    <row r="40" spans="1:14">
      <c r="A40" s="52">
        <v>46015</v>
      </c>
      <c r="B40" s="52" t="s">
        <v>32</v>
      </c>
      <c r="C40" s="52" t="s">
        <v>41</v>
      </c>
      <c r="D40" s="52" t="s">
        <v>43</v>
      </c>
      <c r="E40" s="52">
        <v>3700</v>
      </c>
      <c r="F40" s="52">
        <f t="shared" si="0"/>
        <v>37</v>
      </c>
      <c r="G40" s="52">
        <v>43</v>
      </c>
      <c r="H40" s="52">
        <f t="shared" si="1"/>
        <v>6</v>
      </c>
      <c r="I40" s="52">
        <v>180</v>
      </c>
      <c r="J40" s="52" t="s">
        <v>50</v>
      </c>
      <c r="K40" s="52">
        <f t="shared" si="2"/>
        <v>1</v>
      </c>
      <c r="L40" s="52" t="s">
        <v>45</v>
      </c>
      <c r="M40" s="80">
        <f t="shared" si="3"/>
        <v>0.16216216216216217</v>
      </c>
      <c r="N40" s="52">
        <f t="shared" si="4"/>
        <v>86.04651162790698</v>
      </c>
    </row>
    <row r="41" spans="1:14">
      <c r="A41" s="52">
        <v>46008</v>
      </c>
      <c r="B41" s="52" t="s">
        <v>32</v>
      </c>
      <c r="C41" s="52" t="s">
        <v>41</v>
      </c>
      <c r="D41" s="52" t="s">
        <v>43</v>
      </c>
      <c r="E41" s="52">
        <v>3600</v>
      </c>
      <c r="F41" s="52">
        <f t="shared" si="0"/>
        <v>36</v>
      </c>
      <c r="G41" s="52">
        <v>42</v>
      </c>
      <c r="H41" s="52">
        <f t="shared" si="1"/>
        <v>6</v>
      </c>
      <c r="I41" s="52">
        <v>180</v>
      </c>
      <c r="J41" s="52" t="s">
        <v>50</v>
      </c>
      <c r="K41" s="52">
        <f t="shared" si="2"/>
        <v>1</v>
      </c>
      <c r="L41" s="52" t="s">
        <v>45</v>
      </c>
      <c r="M41" s="80">
        <f t="shared" si="3"/>
        <v>0.16666666666666666</v>
      </c>
      <c r="N41" s="52">
        <f t="shared" si="4"/>
        <v>85.714285714285708</v>
      </c>
    </row>
    <row r="42" spans="1:14">
      <c r="A42" s="52">
        <v>46001</v>
      </c>
      <c r="B42" s="52" t="s">
        <v>32</v>
      </c>
      <c r="C42" s="52" t="s">
        <v>41</v>
      </c>
      <c r="D42" s="52" t="s">
        <v>43</v>
      </c>
      <c r="E42" s="52">
        <v>3600</v>
      </c>
      <c r="F42" s="52">
        <f t="shared" si="0"/>
        <v>36</v>
      </c>
      <c r="G42" s="52">
        <v>42</v>
      </c>
      <c r="H42" s="52">
        <f t="shared" si="1"/>
        <v>6</v>
      </c>
      <c r="I42" s="52">
        <v>180</v>
      </c>
      <c r="J42" s="52" t="s">
        <v>50</v>
      </c>
      <c r="K42" s="52">
        <f t="shared" si="2"/>
        <v>1</v>
      </c>
      <c r="L42" s="52" t="s">
        <v>45</v>
      </c>
      <c r="M42" s="80">
        <f t="shared" si="3"/>
        <v>0.16666666666666666</v>
      </c>
      <c r="N42" s="52">
        <f t="shared" si="4"/>
        <v>85.714285714285708</v>
      </c>
    </row>
    <row r="43" spans="1:14">
      <c r="A43" s="52">
        <v>46022</v>
      </c>
      <c r="B43" s="52" t="s">
        <v>33</v>
      </c>
      <c r="C43" s="52" t="s">
        <v>2</v>
      </c>
      <c r="D43" s="52" t="s">
        <v>43</v>
      </c>
      <c r="E43" s="52">
        <v>1430</v>
      </c>
      <c r="F43" s="52">
        <f t="shared" si="0"/>
        <v>14.3</v>
      </c>
      <c r="G43" s="52">
        <v>25</v>
      </c>
      <c r="H43" s="52">
        <f t="shared" si="1"/>
        <v>10.7</v>
      </c>
      <c r="I43" s="52">
        <v>45</v>
      </c>
      <c r="J43" s="52" t="s">
        <v>51</v>
      </c>
      <c r="K43" s="52">
        <f t="shared" si="2"/>
        <v>2</v>
      </c>
      <c r="L43" s="52" t="s">
        <v>46</v>
      </c>
      <c r="M43" s="80">
        <f t="shared" si="3"/>
        <v>0.74825174825174812</v>
      </c>
      <c r="N43" s="52">
        <f t="shared" si="4"/>
        <v>57.2</v>
      </c>
    </row>
    <row r="44" spans="1:14">
      <c r="A44" s="52">
        <v>46015</v>
      </c>
      <c r="B44" s="52" t="s">
        <v>33</v>
      </c>
      <c r="C44" s="52" t="s">
        <v>2</v>
      </c>
      <c r="D44" s="52" t="s">
        <v>43</v>
      </c>
      <c r="E44" s="52">
        <v>1460</v>
      </c>
      <c r="F44" s="52">
        <f t="shared" si="0"/>
        <v>14.6</v>
      </c>
      <c r="G44" s="52">
        <v>32</v>
      </c>
      <c r="H44" s="52">
        <f t="shared" si="1"/>
        <v>17.399999999999999</v>
      </c>
      <c r="I44" s="52">
        <v>45</v>
      </c>
      <c r="J44" s="52" t="s">
        <v>51</v>
      </c>
      <c r="K44" s="52">
        <f t="shared" si="2"/>
        <v>2</v>
      </c>
      <c r="L44" s="52" t="s">
        <v>46</v>
      </c>
      <c r="M44" s="80">
        <f t="shared" si="3"/>
        <v>1.1917808219178081</v>
      </c>
      <c r="N44" s="52">
        <f t="shared" si="4"/>
        <v>45.625</v>
      </c>
    </row>
    <row r="45" spans="1:14">
      <c r="A45" s="52">
        <v>46008</v>
      </c>
      <c r="B45" s="52" t="s">
        <v>33</v>
      </c>
      <c r="C45" s="52" t="s">
        <v>2</v>
      </c>
      <c r="D45" s="52" t="s">
        <v>43</v>
      </c>
      <c r="E45" s="52">
        <v>1785</v>
      </c>
      <c r="F45" s="52">
        <f t="shared" si="0"/>
        <v>17.850000000000001</v>
      </c>
      <c r="G45" s="52">
        <v>38</v>
      </c>
      <c r="H45" s="52">
        <f t="shared" si="1"/>
        <v>20.149999999999999</v>
      </c>
      <c r="I45" s="52">
        <v>45</v>
      </c>
      <c r="J45" s="52" t="s">
        <v>51</v>
      </c>
      <c r="K45" s="52">
        <f t="shared" si="2"/>
        <v>2</v>
      </c>
      <c r="L45" s="52" t="s">
        <v>46</v>
      </c>
      <c r="M45" s="80">
        <f t="shared" si="3"/>
        <v>1.1288515406162463</v>
      </c>
      <c r="N45" s="52">
        <f t="shared" si="4"/>
        <v>46.973684210526315</v>
      </c>
    </row>
    <row r="46" spans="1:14">
      <c r="A46" s="52">
        <v>46001</v>
      </c>
      <c r="B46" s="52" t="s">
        <v>33</v>
      </c>
      <c r="C46" s="52" t="s">
        <v>2</v>
      </c>
      <c r="D46" s="52" t="s">
        <v>43</v>
      </c>
      <c r="E46" s="52">
        <v>1055</v>
      </c>
      <c r="F46" s="52">
        <f t="shared" si="0"/>
        <v>10.55</v>
      </c>
      <c r="G46" s="52">
        <v>27</v>
      </c>
      <c r="H46" s="52">
        <f t="shared" si="1"/>
        <v>16.45</v>
      </c>
      <c r="I46" s="52">
        <v>45</v>
      </c>
      <c r="J46" s="52" t="s">
        <v>51</v>
      </c>
      <c r="K46" s="52">
        <f t="shared" si="2"/>
        <v>2</v>
      </c>
      <c r="L46" s="52" t="s">
        <v>46</v>
      </c>
      <c r="M46" s="80">
        <f t="shared" si="3"/>
        <v>1.5592417061611372</v>
      </c>
      <c r="N46" s="52">
        <f t="shared" si="4"/>
        <v>39.074074074074076</v>
      </c>
    </row>
    <row r="47" spans="1:14">
      <c r="A47" s="52">
        <v>46022</v>
      </c>
      <c r="B47" s="52" t="s">
        <v>35</v>
      </c>
      <c r="C47" s="52" t="s">
        <v>2</v>
      </c>
      <c r="D47" s="52" t="s">
        <v>43</v>
      </c>
      <c r="E47" s="52">
        <v>1967</v>
      </c>
      <c r="F47" s="52">
        <f t="shared" si="0"/>
        <v>19.670000000000002</v>
      </c>
      <c r="G47" s="52">
        <v>52</v>
      </c>
      <c r="H47" s="52">
        <f t="shared" si="1"/>
        <v>32.33</v>
      </c>
      <c r="I47" s="52">
        <v>5</v>
      </c>
      <c r="J47" s="52" t="s">
        <v>52</v>
      </c>
      <c r="K47" s="52">
        <f t="shared" si="2"/>
        <v>3</v>
      </c>
      <c r="L47" s="52" t="s">
        <v>47</v>
      </c>
      <c r="M47" s="80">
        <f t="shared" si="3"/>
        <v>1.6436197254702591</v>
      </c>
      <c r="N47" s="52">
        <f t="shared" si="4"/>
        <v>37.82692307692308</v>
      </c>
    </row>
    <row r="48" spans="1:14">
      <c r="A48" s="52">
        <v>46015</v>
      </c>
      <c r="B48" s="52" t="s">
        <v>35</v>
      </c>
      <c r="C48" s="52" t="s">
        <v>2</v>
      </c>
      <c r="D48" s="52" t="s">
        <v>43</v>
      </c>
      <c r="E48" s="52">
        <v>2165</v>
      </c>
      <c r="F48" s="52">
        <f t="shared" si="0"/>
        <v>21.65</v>
      </c>
      <c r="G48" s="52">
        <v>53</v>
      </c>
      <c r="H48" s="52">
        <f t="shared" si="1"/>
        <v>31.35</v>
      </c>
      <c r="I48" s="52">
        <v>5</v>
      </c>
      <c r="J48" s="52" t="s">
        <v>52</v>
      </c>
      <c r="K48" s="52">
        <f t="shared" si="2"/>
        <v>3</v>
      </c>
      <c r="L48" s="52" t="s">
        <v>47</v>
      </c>
      <c r="M48" s="80">
        <f t="shared" si="3"/>
        <v>1.4480369515011549</v>
      </c>
      <c r="N48" s="52">
        <f t="shared" si="4"/>
        <v>40.849056603773583</v>
      </c>
    </row>
    <row r="49" spans="1:14">
      <c r="A49" s="52">
        <v>46008</v>
      </c>
      <c r="B49" s="52" t="s">
        <v>35</v>
      </c>
      <c r="C49" s="52" t="s">
        <v>2</v>
      </c>
      <c r="D49" s="52" t="s">
        <v>43</v>
      </c>
      <c r="E49" s="52">
        <v>2050</v>
      </c>
      <c r="F49" s="52">
        <f t="shared" si="0"/>
        <v>20.5</v>
      </c>
      <c r="G49" s="52">
        <v>52</v>
      </c>
      <c r="H49" s="52">
        <f t="shared" si="1"/>
        <v>31.5</v>
      </c>
      <c r="I49" s="52">
        <v>5</v>
      </c>
      <c r="J49" s="52" t="s">
        <v>52</v>
      </c>
      <c r="K49" s="52">
        <f t="shared" si="2"/>
        <v>3</v>
      </c>
      <c r="L49" s="52" t="s">
        <v>47</v>
      </c>
      <c r="M49" s="80">
        <f t="shared" si="3"/>
        <v>1.5365853658536586</v>
      </c>
      <c r="N49" s="52">
        <f t="shared" si="4"/>
        <v>39.42307692307692</v>
      </c>
    </row>
    <row r="50" spans="1:14">
      <c r="A50" s="52">
        <v>46001</v>
      </c>
      <c r="B50" s="52" t="s">
        <v>35</v>
      </c>
      <c r="C50" s="52" t="s">
        <v>2</v>
      </c>
      <c r="D50" s="52" t="s">
        <v>43</v>
      </c>
      <c r="E50" s="52">
        <v>2015</v>
      </c>
      <c r="F50" s="52">
        <f t="shared" si="0"/>
        <v>20.149999999999999</v>
      </c>
      <c r="G50" s="52">
        <v>52</v>
      </c>
      <c r="H50" s="52">
        <f t="shared" si="1"/>
        <v>31.85</v>
      </c>
      <c r="I50" s="52">
        <v>5</v>
      </c>
      <c r="J50" s="52" t="s">
        <v>52</v>
      </c>
      <c r="K50" s="52">
        <f t="shared" si="2"/>
        <v>3</v>
      </c>
      <c r="L50" s="52" t="s">
        <v>47</v>
      </c>
      <c r="M50" s="80">
        <f t="shared" si="3"/>
        <v>1.5806451612903227</v>
      </c>
      <c r="N50" s="52">
        <f t="shared" si="4"/>
        <v>38.749999999999993</v>
      </c>
    </row>
    <row r="51" spans="1:14">
      <c r="A51" s="52">
        <v>46022</v>
      </c>
      <c r="B51" s="52" t="s">
        <v>36</v>
      </c>
      <c r="C51" s="52" t="s">
        <v>41</v>
      </c>
      <c r="D51" s="52" t="s">
        <v>43</v>
      </c>
      <c r="E51" s="52">
        <v>2800</v>
      </c>
      <c r="F51" s="52">
        <f t="shared" si="0"/>
        <v>28</v>
      </c>
      <c r="G51" s="52">
        <v>32</v>
      </c>
      <c r="H51" s="52">
        <f t="shared" si="1"/>
        <v>4</v>
      </c>
      <c r="I51" s="52">
        <v>150</v>
      </c>
      <c r="J51" s="52" t="s">
        <v>50</v>
      </c>
      <c r="K51" s="52">
        <f t="shared" si="2"/>
        <v>1</v>
      </c>
      <c r="L51" s="52" t="s">
        <v>45</v>
      </c>
      <c r="M51" s="80">
        <f t="shared" si="3"/>
        <v>0.14285714285714285</v>
      </c>
      <c r="N51" s="52">
        <f t="shared" si="4"/>
        <v>87.5</v>
      </c>
    </row>
    <row r="52" spans="1:14">
      <c r="A52" s="52">
        <v>46015</v>
      </c>
      <c r="B52" s="52" t="s">
        <v>36</v>
      </c>
      <c r="C52" s="52" t="s">
        <v>41</v>
      </c>
      <c r="D52" s="52" t="s">
        <v>43</v>
      </c>
      <c r="E52" s="52">
        <v>2800</v>
      </c>
      <c r="F52" s="52">
        <f t="shared" si="0"/>
        <v>28</v>
      </c>
      <c r="G52" s="52">
        <v>32</v>
      </c>
      <c r="H52" s="52">
        <f t="shared" si="1"/>
        <v>4</v>
      </c>
      <c r="I52" s="52">
        <v>150</v>
      </c>
      <c r="J52" s="52" t="s">
        <v>50</v>
      </c>
      <c r="K52" s="52">
        <f t="shared" si="2"/>
        <v>1</v>
      </c>
      <c r="L52" s="52" t="s">
        <v>45</v>
      </c>
      <c r="M52" s="80">
        <f t="shared" si="3"/>
        <v>0.14285714285714285</v>
      </c>
      <c r="N52" s="52">
        <f t="shared" si="4"/>
        <v>87.5</v>
      </c>
    </row>
    <row r="53" spans="1:14">
      <c r="A53" s="52">
        <v>46008</v>
      </c>
      <c r="B53" s="52" t="s">
        <v>36</v>
      </c>
      <c r="C53" s="52" t="s">
        <v>41</v>
      </c>
      <c r="D53" s="52" t="s">
        <v>43</v>
      </c>
      <c r="E53" s="52">
        <v>2900</v>
      </c>
      <c r="F53" s="52">
        <f t="shared" si="0"/>
        <v>29</v>
      </c>
      <c r="G53" s="52">
        <v>32</v>
      </c>
      <c r="H53" s="52">
        <f t="shared" si="1"/>
        <v>3</v>
      </c>
      <c r="I53" s="52">
        <v>150</v>
      </c>
      <c r="J53" s="52" t="s">
        <v>50</v>
      </c>
      <c r="K53" s="52">
        <f t="shared" si="2"/>
        <v>1</v>
      </c>
      <c r="L53" s="52" t="s">
        <v>45</v>
      </c>
      <c r="M53" s="80">
        <f t="shared" si="3"/>
        <v>0.10344827586206896</v>
      </c>
      <c r="N53" s="52">
        <f t="shared" si="4"/>
        <v>90.625</v>
      </c>
    </row>
    <row r="54" spans="1:14">
      <c r="A54" s="52">
        <v>46001</v>
      </c>
      <c r="B54" s="52" t="s">
        <v>36</v>
      </c>
      <c r="C54" s="52" t="s">
        <v>41</v>
      </c>
      <c r="D54" s="52" t="s">
        <v>43</v>
      </c>
      <c r="E54" s="52">
        <v>2900</v>
      </c>
      <c r="F54" s="52">
        <f t="shared" si="0"/>
        <v>29</v>
      </c>
      <c r="G54" s="52">
        <v>31</v>
      </c>
      <c r="H54" s="52">
        <f t="shared" si="1"/>
        <v>2</v>
      </c>
      <c r="I54" s="52">
        <v>150</v>
      </c>
      <c r="J54" s="52" t="s">
        <v>50</v>
      </c>
      <c r="K54" s="52">
        <f t="shared" si="2"/>
        <v>1</v>
      </c>
      <c r="L54" s="52" t="s">
        <v>45</v>
      </c>
      <c r="M54" s="80">
        <f t="shared" si="3"/>
        <v>6.8965517241379309E-2</v>
      </c>
      <c r="N54" s="52">
        <f t="shared" si="4"/>
        <v>93.548387096774192</v>
      </c>
    </row>
    <row r="55" spans="1:14">
      <c r="A55" s="52">
        <v>46022</v>
      </c>
      <c r="B55" s="52" t="s">
        <v>37</v>
      </c>
      <c r="C55" s="52" t="s">
        <v>2</v>
      </c>
      <c r="D55" s="52" t="s">
        <v>43</v>
      </c>
      <c r="E55" s="52">
        <v>1850</v>
      </c>
      <c r="F55" s="52">
        <f t="shared" si="0"/>
        <v>18.5</v>
      </c>
      <c r="G55" s="52">
        <v>37</v>
      </c>
      <c r="H55" s="52">
        <f t="shared" si="1"/>
        <v>18.5</v>
      </c>
      <c r="I55" s="52">
        <v>4</v>
      </c>
      <c r="J55" s="52" t="s">
        <v>52</v>
      </c>
      <c r="K55" s="52">
        <f t="shared" si="2"/>
        <v>3</v>
      </c>
      <c r="L55" s="52" t="s">
        <v>48</v>
      </c>
      <c r="M55" s="80">
        <f t="shared" si="3"/>
        <v>1</v>
      </c>
      <c r="N55" s="52">
        <f t="shared" si="4"/>
        <v>50</v>
      </c>
    </row>
    <row r="56" spans="1:14">
      <c r="A56" s="52">
        <v>46015</v>
      </c>
      <c r="B56" s="52" t="s">
        <v>37</v>
      </c>
      <c r="C56" s="52" t="s">
        <v>2</v>
      </c>
      <c r="D56" s="52" t="s">
        <v>43</v>
      </c>
      <c r="E56" s="52">
        <v>2000</v>
      </c>
      <c r="F56" s="52">
        <f t="shared" si="0"/>
        <v>20</v>
      </c>
      <c r="G56" s="52">
        <v>40</v>
      </c>
      <c r="H56" s="52">
        <f t="shared" si="1"/>
        <v>20</v>
      </c>
      <c r="I56" s="52">
        <v>4</v>
      </c>
      <c r="J56" s="52" t="s">
        <v>52</v>
      </c>
      <c r="K56" s="52">
        <f t="shared" si="2"/>
        <v>3</v>
      </c>
      <c r="L56" s="52" t="s">
        <v>48</v>
      </c>
      <c r="M56" s="80">
        <f t="shared" si="3"/>
        <v>1</v>
      </c>
      <c r="N56" s="52">
        <f t="shared" si="4"/>
        <v>50</v>
      </c>
    </row>
    <row r="57" spans="1:14">
      <c r="A57" s="52">
        <v>46008</v>
      </c>
      <c r="B57" s="52" t="s">
        <v>37</v>
      </c>
      <c r="C57" s="52" t="s">
        <v>2</v>
      </c>
      <c r="D57" s="52" t="s">
        <v>43</v>
      </c>
      <c r="E57" s="52">
        <v>2500</v>
      </c>
      <c r="F57" s="52">
        <f t="shared" si="0"/>
        <v>25</v>
      </c>
      <c r="G57" s="52">
        <v>53</v>
      </c>
      <c r="H57" s="52">
        <f t="shared" si="1"/>
        <v>28</v>
      </c>
      <c r="I57" s="52">
        <v>4</v>
      </c>
      <c r="J57" s="52" t="s">
        <v>52</v>
      </c>
      <c r="K57" s="52">
        <f t="shared" si="2"/>
        <v>3</v>
      </c>
      <c r="L57" s="52" t="s">
        <v>48</v>
      </c>
      <c r="M57" s="80">
        <f t="shared" si="3"/>
        <v>1.1200000000000001</v>
      </c>
      <c r="N57" s="52">
        <f t="shared" si="4"/>
        <v>47.169811320754718</v>
      </c>
    </row>
    <row r="58" spans="1:14">
      <c r="A58" s="52">
        <v>46001</v>
      </c>
      <c r="B58" s="52" t="s">
        <v>37</v>
      </c>
      <c r="C58" s="52" t="s">
        <v>2</v>
      </c>
      <c r="D58" s="52" t="s">
        <v>43</v>
      </c>
      <c r="E58" s="52">
        <v>2200</v>
      </c>
      <c r="F58" s="52">
        <f t="shared" si="0"/>
        <v>22</v>
      </c>
      <c r="G58" s="52">
        <v>53</v>
      </c>
      <c r="H58" s="52">
        <f t="shared" si="1"/>
        <v>31</v>
      </c>
      <c r="I58" s="52">
        <v>4</v>
      </c>
      <c r="J58" s="52" t="s">
        <v>52</v>
      </c>
      <c r="K58" s="52">
        <f t="shared" si="2"/>
        <v>3</v>
      </c>
      <c r="L58" s="52" t="s">
        <v>48</v>
      </c>
      <c r="M58" s="80">
        <f t="shared" si="3"/>
        <v>1.4090909090909092</v>
      </c>
      <c r="N58" s="52">
        <f t="shared" si="4"/>
        <v>41.509433962264154</v>
      </c>
    </row>
    <row r="59" spans="1:14">
      <c r="A59" s="52">
        <v>46022</v>
      </c>
      <c r="B59" s="52" t="s">
        <v>34</v>
      </c>
      <c r="C59" s="52" t="s">
        <v>2</v>
      </c>
      <c r="D59" s="52" t="s">
        <v>43</v>
      </c>
      <c r="E59" s="52">
        <v>627</v>
      </c>
      <c r="F59" s="52">
        <f t="shared" si="0"/>
        <v>6.27</v>
      </c>
      <c r="G59" s="52">
        <v>18</v>
      </c>
      <c r="H59" s="52">
        <f t="shared" si="1"/>
        <v>11.73</v>
      </c>
      <c r="I59" s="52">
        <v>60</v>
      </c>
      <c r="J59" s="52" t="s">
        <v>50</v>
      </c>
      <c r="K59" s="52">
        <f t="shared" si="2"/>
        <v>1</v>
      </c>
      <c r="L59" s="52" t="s">
        <v>45</v>
      </c>
      <c r="M59" s="80">
        <f t="shared" si="3"/>
        <v>1.8708133971291867</v>
      </c>
      <c r="N59" s="52">
        <f t="shared" si="4"/>
        <v>34.833333333333336</v>
      </c>
    </row>
    <row r="60" spans="1:14">
      <c r="A60" s="52">
        <v>46015</v>
      </c>
      <c r="B60" s="52" t="s">
        <v>34</v>
      </c>
      <c r="C60" s="52" t="s">
        <v>2</v>
      </c>
      <c r="D60" s="52" t="s">
        <v>43</v>
      </c>
      <c r="E60" s="52">
        <v>650</v>
      </c>
      <c r="F60" s="52">
        <f t="shared" si="0"/>
        <v>6.5</v>
      </c>
      <c r="G60" s="52">
        <v>22</v>
      </c>
      <c r="H60" s="52">
        <f t="shared" si="1"/>
        <v>15.5</v>
      </c>
      <c r="I60" s="52">
        <v>60</v>
      </c>
      <c r="J60" s="52" t="s">
        <v>50</v>
      </c>
      <c r="K60" s="52">
        <f t="shared" si="2"/>
        <v>1</v>
      </c>
      <c r="L60" s="52" t="s">
        <v>45</v>
      </c>
      <c r="M60" s="80">
        <f t="shared" si="3"/>
        <v>2.3846153846153846</v>
      </c>
      <c r="N60" s="52">
        <f t="shared" si="4"/>
        <v>29.545454545454547</v>
      </c>
    </row>
    <row r="61" spans="1:14">
      <c r="A61" s="52">
        <v>46008</v>
      </c>
      <c r="B61" s="52" t="s">
        <v>34</v>
      </c>
      <c r="C61" s="52" t="s">
        <v>2</v>
      </c>
      <c r="D61" s="52" t="s">
        <v>43</v>
      </c>
      <c r="E61" s="52">
        <v>685</v>
      </c>
      <c r="F61" s="52">
        <f t="shared" si="0"/>
        <v>6.85</v>
      </c>
      <c r="G61" s="52">
        <v>23</v>
      </c>
      <c r="H61" s="52">
        <f t="shared" si="1"/>
        <v>16.149999999999999</v>
      </c>
      <c r="I61" s="52">
        <v>60</v>
      </c>
      <c r="J61" s="52" t="s">
        <v>50</v>
      </c>
      <c r="K61" s="52">
        <f t="shared" si="2"/>
        <v>1</v>
      </c>
      <c r="L61" s="52" t="s">
        <v>45</v>
      </c>
      <c r="M61" s="80">
        <f t="shared" si="3"/>
        <v>2.3576642335766422</v>
      </c>
      <c r="N61" s="52">
        <f t="shared" si="4"/>
        <v>29.782608695652176</v>
      </c>
    </row>
    <row r="62" spans="1:14">
      <c r="A62" s="52">
        <v>46001</v>
      </c>
      <c r="B62" s="52" t="s">
        <v>34</v>
      </c>
      <c r="C62" s="52" t="s">
        <v>2</v>
      </c>
      <c r="D62" s="52" t="s">
        <v>43</v>
      </c>
      <c r="E62" s="52">
        <v>760</v>
      </c>
      <c r="F62" s="52">
        <f t="shared" si="0"/>
        <v>7.6</v>
      </c>
      <c r="G62" s="52">
        <v>23</v>
      </c>
      <c r="H62" s="52">
        <f t="shared" si="1"/>
        <v>15.4</v>
      </c>
      <c r="I62" s="52">
        <v>60</v>
      </c>
      <c r="J62" s="52" t="s">
        <v>50</v>
      </c>
      <c r="K62" s="52">
        <f t="shared" si="2"/>
        <v>1</v>
      </c>
      <c r="L62" s="52" t="s">
        <v>45</v>
      </c>
      <c r="M62" s="80">
        <f t="shared" si="3"/>
        <v>2.0263157894736845</v>
      </c>
      <c r="N62" s="52">
        <f t="shared" si="4"/>
        <v>33.043478260869563</v>
      </c>
    </row>
    <row r="63" spans="1:14">
      <c r="A63" s="52">
        <v>46022</v>
      </c>
      <c r="B63" s="52" t="s">
        <v>38</v>
      </c>
      <c r="C63" s="52" t="s">
        <v>2</v>
      </c>
      <c r="D63" s="52" t="s">
        <v>43</v>
      </c>
      <c r="E63" s="52">
        <v>3680</v>
      </c>
      <c r="F63" s="52">
        <f t="shared" ref="F63:F78" si="5">E63/100</f>
        <v>36.799999999999997</v>
      </c>
      <c r="G63" s="52">
        <v>48</v>
      </c>
      <c r="H63" s="52">
        <f t="shared" si="1"/>
        <v>11.200000000000003</v>
      </c>
      <c r="I63" s="52">
        <v>7</v>
      </c>
      <c r="J63" s="52" t="s">
        <v>52</v>
      </c>
      <c r="K63" s="52">
        <f t="shared" si="2"/>
        <v>3</v>
      </c>
      <c r="L63" s="52" t="s">
        <v>47</v>
      </c>
      <c r="M63" s="80">
        <f t="shared" si="3"/>
        <v>0.3043478260869566</v>
      </c>
      <c r="N63" s="52">
        <f t="shared" si="4"/>
        <v>76.666666666666657</v>
      </c>
    </row>
    <row r="64" spans="1:14">
      <c r="A64" s="52">
        <v>46015</v>
      </c>
      <c r="B64" s="52" t="s">
        <v>38</v>
      </c>
      <c r="C64" s="52" t="s">
        <v>2</v>
      </c>
      <c r="D64" s="52" t="s">
        <v>43</v>
      </c>
      <c r="E64" s="52">
        <v>3760</v>
      </c>
      <c r="F64" s="52">
        <f t="shared" si="5"/>
        <v>37.6</v>
      </c>
      <c r="G64" s="52">
        <v>55</v>
      </c>
      <c r="H64" s="52">
        <f t="shared" si="1"/>
        <v>17.399999999999999</v>
      </c>
      <c r="I64" s="52">
        <v>7</v>
      </c>
      <c r="J64" s="52" t="s">
        <v>52</v>
      </c>
      <c r="K64" s="52">
        <f t="shared" si="2"/>
        <v>3</v>
      </c>
      <c r="L64" s="52" t="s">
        <v>47</v>
      </c>
      <c r="M64" s="80">
        <f t="shared" si="3"/>
        <v>0.46276595744680843</v>
      </c>
      <c r="N64" s="52">
        <f t="shared" si="4"/>
        <v>68.363636363636374</v>
      </c>
    </row>
    <row r="65" spans="1:14">
      <c r="A65" s="52">
        <v>46008</v>
      </c>
      <c r="B65" s="52" t="s">
        <v>38</v>
      </c>
      <c r="C65" s="52" t="s">
        <v>2</v>
      </c>
      <c r="D65" s="52" t="s">
        <v>43</v>
      </c>
      <c r="E65" s="52">
        <v>3945</v>
      </c>
      <c r="F65" s="52">
        <f t="shared" si="5"/>
        <v>39.450000000000003</v>
      </c>
      <c r="G65" s="52">
        <v>55</v>
      </c>
      <c r="H65" s="52">
        <f t="shared" si="1"/>
        <v>15.549999999999997</v>
      </c>
      <c r="I65" s="52">
        <v>7</v>
      </c>
      <c r="J65" s="52" t="s">
        <v>52</v>
      </c>
      <c r="K65" s="52">
        <f t="shared" si="2"/>
        <v>3</v>
      </c>
      <c r="L65" s="52" t="s">
        <v>47</v>
      </c>
      <c r="M65" s="80">
        <f t="shared" si="3"/>
        <v>0.39416983523447391</v>
      </c>
      <c r="N65" s="52">
        <f t="shared" si="4"/>
        <v>71.727272727272734</v>
      </c>
    </row>
    <row r="66" spans="1:14">
      <c r="A66" s="52">
        <v>46001</v>
      </c>
      <c r="B66" s="52" t="s">
        <v>38</v>
      </c>
      <c r="C66" s="52" t="s">
        <v>2</v>
      </c>
      <c r="D66" s="52" t="s">
        <v>43</v>
      </c>
      <c r="E66" s="52">
        <v>3025</v>
      </c>
      <c r="F66" s="52">
        <f t="shared" si="5"/>
        <v>30.25</v>
      </c>
      <c r="G66" s="52">
        <v>43</v>
      </c>
      <c r="H66" s="52">
        <f t="shared" si="1"/>
        <v>12.75</v>
      </c>
      <c r="I66" s="52">
        <v>7</v>
      </c>
      <c r="J66" s="52" t="s">
        <v>52</v>
      </c>
      <c r="K66" s="52">
        <f t="shared" si="2"/>
        <v>3</v>
      </c>
      <c r="L66" s="52" t="s">
        <v>47</v>
      </c>
      <c r="M66" s="80">
        <f t="shared" si="3"/>
        <v>0.42148760330578511</v>
      </c>
      <c r="N66" s="52">
        <f t="shared" si="4"/>
        <v>70.348837209302332</v>
      </c>
    </row>
    <row r="67" spans="1:14">
      <c r="A67" s="52">
        <v>46022</v>
      </c>
      <c r="B67" s="52" t="s">
        <v>39</v>
      </c>
      <c r="C67" s="52" t="s">
        <v>2</v>
      </c>
      <c r="D67" s="52" t="s">
        <v>43</v>
      </c>
      <c r="E67" s="52">
        <v>4400</v>
      </c>
      <c r="F67" s="52">
        <f t="shared" si="5"/>
        <v>44</v>
      </c>
      <c r="G67" s="52">
        <v>107</v>
      </c>
      <c r="H67" s="52">
        <f t="shared" si="1"/>
        <v>63</v>
      </c>
      <c r="I67" s="52">
        <v>90</v>
      </c>
      <c r="J67" s="52" t="s">
        <v>51</v>
      </c>
      <c r="K67" s="52">
        <f t="shared" si="2"/>
        <v>2</v>
      </c>
      <c r="L67" s="52" t="s">
        <v>46</v>
      </c>
      <c r="M67" s="80">
        <f t="shared" si="3"/>
        <v>1.4318181818181819</v>
      </c>
      <c r="N67" s="52">
        <f t="shared" si="4"/>
        <v>41.121495327102799</v>
      </c>
    </row>
    <row r="68" spans="1:14">
      <c r="A68" s="52">
        <v>46015</v>
      </c>
      <c r="B68" s="52" t="s">
        <v>39</v>
      </c>
      <c r="C68" s="52" t="s">
        <v>2</v>
      </c>
      <c r="D68" s="52" t="s">
        <v>43</v>
      </c>
      <c r="E68" s="52">
        <v>4500</v>
      </c>
      <c r="F68" s="52">
        <f t="shared" si="5"/>
        <v>45</v>
      </c>
      <c r="G68" s="52">
        <v>107</v>
      </c>
      <c r="H68" s="52">
        <f t="shared" ref="H68:H110" si="6">G68-F68</f>
        <v>62</v>
      </c>
      <c r="I68" s="52">
        <v>90</v>
      </c>
      <c r="J68" s="52" t="s">
        <v>51</v>
      </c>
      <c r="K68" s="52">
        <f t="shared" ref="K68:K110" si="7">IF(J68="Low",1,IF(J68="Medium",2,IF(J68="High",3)))</f>
        <v>2</v>
      </c>
      <c r="L68" s="52" t="s">
        <v>46</v>
      </c>
      <c r="M68" s="80">
        <f t="shared" ref="M68:M110" si="8">H68/F68</f>
        <v>1.3777777777777778</v>
      </c>
      <c r="N68" s="52">
        <f t="shared" ref="N68:N110" si="9">F68/G68*100</f>
        <v>42.056074766355138</v>
      </c>
    </row>
    <row r="69" spans="1:14">
      <c r="A69" s="52">
        <v>46008</v>
      </c>
      <c r="B69" s="52" t="s">
        <v>39</v>
      </c>
      <c r="C69" s="52" t="s">
        <v>2</v>
      </c>
      <c r="D69" s="52" t="s">
        <v>43</v>
      </c>
      <c r="E69" s="52">
        <v>4800</v>
      </c>
      <c r="F69" s="52">
        <f t="shared" si="5"/>
        <v>48</v>
      </c>
      <c r="G69" s="52">
        <v>107</v>
      </c>
      <c r="H69" s="52">
        <f t="shared" si="6"/>
        <v>59</v>
      </c>
      <c r="I69" s="52">
        <v>90</v>
      </c>
      <c r="J69" s="52" t="s">
        <v>51</v>
      </c>
      <c r="K69" s="52">
        <f t="shared" si="7"/>
        <v>2</v>
      </c>
      <c r="L69" s="52" t="s">
        <v>46</v>
      </c>
      <c r="M69" s="80">
        <f t="shared" si="8"/>
        <v>1.2291666666666667</v>
      </c>
      <c r="N69" s="52">
        <f t="shared" si="9"/>
        <v>44.859813084112147</v>
      </c>
    </row>
    <row r="70" spans="1:14">
      <c r="A70" s="52">
        <v>46001</v>
      </c>
      <c r="B70" s="52" t="s">
        <v>39</v>
      </c>
      <c r="C70" s="52" t="s">
        <v>2</v>
      </c>
      <c r="D70" s="52" t="s">
        <v>43</v>
      </c>
      <c r="E70" s="52">
        <v>5000</v>
      </c>
      <c r="F70" s="52">
        <f t="shared" si="5"/>
        <v>50</v>
      </c>
      <c r="G70" s="52">
        <v>107</v>
      </c>
      <c r="H70" s="52">
        <f t="shared" si="6"/>
        <v>57</v>
      </c>
      <c r="I70" s="52">
        <v>90</v>
      </c>
      <c r="J70" s="52" t="s">
        <v>51</v>
      </c>
      <c r="K70" s="52">
        <f t="shared" si="7"/>
        <v>2</v>
      </c>
      <c r="L70" s="52" t="s">
        <v>46</v>
      </c>
      <c r="M70" s="80">
        <f t="shared" si="8"/>
        <v>1.1399999999999999</v>
      </c>
      <c r="N70" s="52">
        <f t="shared" si="9"/>
        <v>46.728971962616825</v>
      </c>
    </row>
    <row r="71" spans="1:14">
      <c r="A71" s="52">
        <v>46022</v>
      </c>
      <c r="B71" s="52" t="s">
        <v>40</v>
      </c>
      <c r="C71" s="52" t="s">
        <v>2</v>
      </c>
      <c r="D71" s="52" t="s">
        <v>43</v>
      </c>
      <c r="E71" s="52">
        <v>5000</v>
      </c>
      <c r="F71" s="52">
        <f t="shared" si="5"/>
        <v>50</v>
      </c>
      <c r="G71" s="52">
        <v>117</v>
      </c>
      <c r="H71" s="52">
        <f t="shared" si="6"/>
        <v>67</v>
      </c>
      <c r="I71" s="52">
        <v>3</v>
      </c>
      <c r="J71" s="52" t="s">
        <v>52</v>
      </c>
      <c r="K71" s="52">
        <f t="shared" si="7"/>
        <v>3</v>
      </c>
      <c r="L71" s="52" t="s">
        <v>47</v>
      </c>
      <c r="M71" s="80">
        <f t="shared" si="8"/>
        <v>1.34</v>
      </c>
      <c r="N71" s="52">
        <f t="shared" si="9"/>
        <v>42.735042735042732</v>
      </c>
    </row>
    <row r="72" spans="1:14">
      <c r="A72" s="52">
        <v>46015</v>
      </c>
      <c r="B72" s="52" t="s">
        <v>40</v>
      </c>
      <c r="C72" s="52" t="s">
        <v>2</v>
      </c>
      <c r="D72" s="52" t="s">
        <v>43</v>
      </c>
      <c r="E72" s="52">
        <v>5000</v>
      </c>
      <c r="F72" s="52">
        <f t="shared" si="5"/>
        <v>50</v>
      </c>
      <c r="G72" s="52">
        <v>120</v>
      </c>
      <c r="H72" s="52">
        <f t="shared" si="6"/>
        <v>70</v>
      </c>
      <c r="I72" s="52">
        <v>3</v>
      </c>
      <c r="J72" s="52" t="s">
        <v>52</v>
      </c>
      <c r="K72" s="52">
        <f t="shared" si="7"/>
        <v>3</v>
      </c>
      <c r="L72" s="52" t="s">
        <v>47</v>
      </c>
      <c r="M72" s="80">
        <f t="shared" si="8"/>
        <v>1.4</v>
      </c>
      <c r="N72" s="52">
        <f t="shared" si="9"/>
        <v>41.666666666666671</v>
      </c>
    </row>
    <row r="73" spans="1:14">
      <c r="A73" s="52">
        <v>46008</v>
      </c>
      <c r="B73" s="52" t="s">
        <v>40</v>
      </c>
      <c r="C73" s="52" t="s">
        <v>2</v>
      </c>
      <c r="D73" s="52" t="s">
        <v>43</v>
      </c>
      <c r="E73" s="52">
        <v>7700</v>
      </c>
      <c r="F73" s="52">
        <f t="shared" si="5"/>
        <v>77</v>
      </c>
      <c r="G73" s="52">
        <v>110</v>
      </c>
      <c r="H73" s="52">
        <f t="shared" si="6"/>
        <v>33</v>
      </c>
      <c r="I73" s="52">
        <v>3</v>
      </c>
      <c r="J73" s="52" t="s">
        <v>52</v>
      </c>
      <c r="K73" s="52">
        <f t="shared" si="7"/>
        <v>3</v>
      </c>
      <c r="L73" s="52" t="s">
        <v>47</v>
      </c>
      <c r="M73" s="80">
        <f t="shared" si="8"/>
        <v>0.42857142857142855</v>
      </c>
      <c r="N73" s="52">
        <f t="shared" si="9"/>
        <v>70</v>
      </c>
    </row>
    <row r="74" spans="1:14">
      <c r="A74" s="52">
        <v>46001</v>
      </c>
      <c r="B74" s="52" t="s">
        <v>40</v>
      </c>
      <c r="C74" s="52" t="s">
        <v>2</v>
      </c>
      <c r="D74" s="52" t="s">
        <v>43</v>
      </c>
      <c r="E74" s="52">
        <v>5750</v>
      </c>
      <c r="F74" s="52">
        <f t="shared" si="5"/>
        <v>57.5</v>
      </c>
      <c r="G74" s="52">
        <v>110</v>
      </c>
      <c r="H74" s="52">
        <f t="shared" si="6"/>
        <v>52.5</v>
      </c>
      <c r="I74" s="52">
        <v>3</v>
      </c>
      <c r="J74" s="52" t="s">
        <v>52</v>
      </c>
      <c r="K74" s="52">
        <f t="shared" si="7"/>
        <v>3</v>
      </c>
      <c r="L74" s="52" t="s">
        <v>47</v>
      </c>
      <c r="M74" s="80">
        <f t="shared" si="8"/>
        <v>0.91304347826086951</v>
      </c>
      <c r="N74" s="52">
        <f t="shared" si="9"/>
        <v>52.272727272727273</v>
      </c>
    </row>
    <row r="75" spans="1:14">
      <c r="A75" s="52">
        <v>45910</v>
      </c>
      <c r="B75" s="52" t="s">
        <v>32</v>
      </c>
      <c r="C75" s="52" t="s">
        <v>41</v>
      </c>
      <c r="D75" s="52" t="s">
        <v>44</v>
      </c>
      <c r="E75" s="52">
        <v>3700</v>
      </c>
      <c r="F75" s="52">
        <f t="shared" si="5"/>
        <v>37</v>
      </c>
      <c r="G75" s="52">
        <v>39</v>
      </c>
      <c r="H75" s="52">
        <f t="shared" si="6"/>
        <v>2</v>
      </c>
      <c r="I75" s="52">
        <v>180</v>
      </c>
      <c r="J75" s="52" t="s">
        <v>50</v>
      </c>
      <c r="K75" s="52">
        <f t="shared" si="7"/>
        <v>1</v>
      </c>
      <c r="L75" s="52" t="s">
        <v>45</v>
      </c>
      <c r="M75" s="80">
        <f t="shared" si="8"/>
        <v>5.4054054054054057E-2</v>
      </c>
      <c r="N75" s="52">
        <f t="shared" si="9"/>
        <v>94.871794871794862</v>
      </c>
    </row>
    <row r="76" spans="1:14">
      <c r="A76" s="52">
        <v>45903</v>
      </c>
      <c r="B76" s="52" t="s">
        <v>32</v>
      </c>
      <c r="C76" s="52" t="s">
        <v>41</v>
      </c>
      <c r="D76" s="52" t="s">
        <v>44</v>
      </c>
      <c r="E76" s="52">
        <v>3700</v>
      </c>
      <c r="F76" s="52">
        <f t="shared" si="5"/>
        <v>37</v>
      </c>
      <c r="G76" s="52">
        <v>39</v>
      </c>
      <c r="H76" s="52">
        <f t="shared" si="6"/>
        <v>2</v>
      </c>
      <c r="I76" s="52">
        <v>180</v>
      </c>
      <c r="J76" s="52" t="s">
        <v>50</v>
      </c>
      <c r="K76" s="52">
        <f t="shared" si="7"/>
        <v>1</v>
      </c>
      <c r="L76" s="52" t="s">
        <v>45</v>
      </c>
      <c r="M76" s="80">
        <f t="shared" si="8"/>
        <v>5.4054054054054057E-2</v>
      </c>
      <c r="N76" s="52">
        <f t="shared" si="9"/>
        <v>94.871794871794862</v>
      </c>
    </row>
    <row r="77" spans="1:14">
      <c r="A77" s="52">
        <v>45896</v>
      </c>
      <c r="B77" s="52" t="s">
        <v>32</v>
      </c>
      <c r="C77" s="52" t="s">
        <v>41</v>
      </c>
      <c r="D77" s="52" t="s">
        <v>44</v>
      </c>
      <c r="E77" s="52">
        <v>3700</v>
      </c>
      <c r="F77" s="52">
        <f t="shared" si="5"/>
        <v>37</v>
      </c>
      <c r="G77" s="52">
        <v>39</v>
      </c>
      <c r="H77" s="52">
        <f t="shared" si="6"/>
        <v>2</v>
      </c>
      <c r="I77" s="52">
        <v>180</v>
      </c>
      <c r="J77" s="52" t="s">
        <v>50</v>
      </c>
      <c r="K77" s="52">
        <f t="shared" si="7"/>
        <v>1</v>
      </c>
      <c r="L77" s="52" t="s">
        <v>45</v>
      </c>
      <c r="M77" s="80">
        <f t="shared" si="8"/>
        <v>5.4054054054054057E-2</v>
      </c>
      <c r="N77" s="52">
        <f t="shared" si="9"/>
        <v>94.871794871794862</v>
      </c>
    </row>
    <row r="78" spans="1:14">
      <c r="A78" s="52">
        <v>45889</v>
      </c>
      <c r="B78" s="52" t="s">
        <v>32</v>
      </c>
      <c r="C78" s="52" t="s">
        <v>41</v>
      </c>
      <c r="D78" s="52" t="s">
        <v>44</v>
      </c>
      <c r="E78" s="52">
        <v>3700</v>
      </c>
      <c r="F78" s="52">
        <f t="shared" si="5"/>
        <v>37</v>
      </c>
      <c r="G78" s="52">
        <v>39</v>
      </c>
      <c r="H78" s="52">
        <f t="shared" si="6"/>
        <v>2</v>
      </c>
      <c r="I78" s="52">
        <v>180</v>
      </c>
      <c r="J78" s="52" t="s">
        <v>50</v>
      </c>
      <c r="K78" s="52">
        <f t="shared" si="7"/>
        <v>1</v>
      </c>
      <c r="L78" s="52" t="s">
        <v>45</v>
      </c>
      <c r="M78" s="80">
        <f t="shared" si="8"/>
        <v>5.4054054054054057E-2</v>
      </c>
      <c r="N78" s="52">
        <f t="shared" si="9"/>
        <v>94.871794871794862</v>
      </c>
    </row>
    <row r="79" spans="1:14">
      <c r="A79" s="52">
        <v>45910</v>
      </c>
      <c r="B79" s="52" t="s">
        <v>33</v>
      </c>
      <c r="C79" s="52" t="s">
        <v>2</v>
      </c>
      <c r="D79" s="52" t="s">
        <v>44</v>
      </c>
      <c r="E79" s="52">
        <f>F79*100</f>
        <v>1125</v>
      </c>
      <c r="F79" s="52">
        <v>11.25</v>
      </c>
      <c r="G79" s="52">
        <v>33</v>
      </c>
      <c r="H79" s="52">
        <f t="shared" si="6"/>
        <v>21.75</v>
      </c>
      <c r="I79" s="52">
        <v>45</v>
      </c>
      <c r="J79" s="52" t="s">
        <v>51</v>
      </c>
      <c r="K79" s="52">
        <f t="shared" si="7"/>
        <v>2</v>
      </c>
      <c r="L79" s="52" t="s">
        <v>46</v>
      </c>
      <c r="M79" s="80">
        <f t="shared" si="8"/>
        <v>1.9333333333333333</v>
      </c>
      <c r="N79" s="52">
        <f t="shared" si="9"/>
        <v>34.090909090909086</v>
      </c>
    </row>
    <row r="80" spans="1:14">
      <c r="A80" s="52">
        <v>45903</v>
      </c>
      <c r="B80" s="52" t="s">
        <v>33</v>
      </c>
      <c r="C80" s="52" t="s">
        <v>2</v>
      </c>
      <c r="D80" s="52" t="s">
        <v>44</v>
      </c>
      <c r="E80" s="52">
        <f t="shared" ref="E80:E86" si="10">F80*100</f>
        <v>1125</v>
      </c>
      <c r="F80" s="52">
        <v>11.25</v>
      </c>
      <c r="G80" s="52">
        <v>33</v>
      </c>
      <c r="H80" s="52">
        <f t="shared" si="6"/>
        <v>21.75</v>
      </c>
      <c r="I80" s="52">
        <v>45</v>
      </c>
      <c r="J80" s="52" t="s">
        <v>51</v>
      </c>
      <c r="K80" s="52">
        <f t="shared" si="7"/>
        <v>2</v>
      </c>
      <c r="L80" s="52" t="s">
        <v>46</v>
      </c>
      <c r="M80" s="80">
        <f t="shared" si="8"/>
        <v>1.9333333333333333</v>
      </c>
      <c r="N80" s="52">
        <f t="shared" si="9"/>
        <v>34.090909090909086</v>
      </c>
    </row>
    <row r="81" spans="1:14">
      <c r="A81" s="52">
        <v>45896</v>
      </c>
      <c r="B81" s="52" t="s">
        <v>33</v>
      </c>
      <c r="C81" s="52" t="s">
        <v>2</v>
      </c>
      <c r="D81" s="52" t="s">
        <v>44</v>
      </c>
      <c r="E81" s="52">
        <f t="shared" si="10"/>
        <v>1188</v>
      </c>
      <c r="F81" s="52">
        <v>11.88</v>
      </c>
      <c r="G81" s="52">
        <v>33</v>
      </c>
      <c r="H81" s="52">
        <f t="shared" si="6"/>
        <v>21.119999999999997</v>
      </c>
      <c r="I81" s="52">
        <v>45</v>
      </c>
      <c r="J81" s="52" t="s">
        <v>51</v>
      </c>
      <c r="K81" s="52">
        <f t="shared" si="7"/>
        <v>2</v>
      </c>
      <c r="L81" s="52" t="s">
        <v>46</v>
      </c>
      <c r="M81" s="80">
        <f t="shared" si="8"/>
        <v>1.7777777777777775</v>
      </c>
      <c r="N81" s="52">
        <f t="shared" si="9"/>
        <v>36.000000000000007</v>
      </c>
    </row>
    <row r="82" spans="1:14">
      <c r="A82" s="52">
        <v>45889</v>
      </c>
      <c r="B82" s="52" t="s">
        <v>33</v>
      </c>
      <c r="C82" s="52" t="s">
        <v>2</v>
      </c>
      <c r="D82" s="52" t="s">
        <v>44</v>
      </c>
      <c r="E82" s="52">
        <f t="shared" si="10"/>
        <v>1375</v>
      </c>
      <c r="F82" s="52">
        <v>13.75</v>
      </c>
      <c r="G82" s="52">
        <v>35</v>
      </c>
      <c r="H82" s="52">
        <f t="shared" si="6"/>
        <v>21.25</v>
      </c>
      <c r="I82" s="52">
        <v>45</v>
      </c>
      <c r="J82" s="52" t="s">
        <v>51</v>
      </c>
      <c r="K82" s="52">
        <f t="shared" si="7"/>
        <v>2</v>
      </c>
      <c r="L82" s="52" t="s">
        <v>46</v>
      </c>
      <c r="M82" s="80">
        <f t="shared" si="8"/>
        <v>1.5454545454545454</v>
      </c>
      <c r="N82" s="52">
        <f t="shared" si="9"/>
        <v>39.285714285714285</v>
      </c>
    </row>
    <row r="83" spans="1:14">
      <c r="A83" s="52">
        <v>45910</v>
      </c>
      <c r="B83" s="52" t="s">
        <v>35</v>
      </c>
      <c r="C83" s="52" t="s">
        <v>2</v>
      </c>
      <c r="D83" s="52" t="s">
        <v>44</v>
      </c>
      <c r="E83" s="52">
        <f t="shared" si="10"/>
        <v>1750</v>
      </c>
      <c r="F83" s="52">
        <v>17.5</v>
      </c>
      <c r="G83" s="52">
        <v>53</v>
      </c>
      <c r="H83" s="52">
        <f t="shared" si="6"/>
        <v>35.5</v>
      </c>
      <c r="I83" s="52">
        <v>5</v>
      </c>
      <c r="J83" s="52" t="s">
        <v>52</v>
      </c>
      <c r="K83" s="52">
        <f t="shared" si="7"/>
        <v>3</v>
      </c>
      <c r="L83" s="52" t="s">
        <v>47</v>
      </c>
      <c r="M83" s="80">
        <f t="shared" si="8"/>
        <v>2.0285714285714285</v>
      </c>
      <c r="N83" s="52">
        <f t="shared" si="9"/>
        <v>33.018867924528301</v>
      </c>
    </row>
    <row r="84" spans="1:14">
      <c r="A84" s="52">
        <v>45903</v>
      </c>
      <c r="B84" s="52" t="s">
        <v>35</v>
      </c>
      <c r="C84" s="52" t="s">
        <v>2</v>
      </c>
      <c r="D84" s="52" t="s">
        <v>44</v>
      </c>
      <c r="E84" s="52">
        <f t="shared" si="10"/>
        <v>1400</v>
      </c>
      <c r="F84" s="52">
        <v>14</v>
      </c>
      <c r="G84" s="52">
        <v>53</v>
      </c>
      <c r="H84" s="52">
        <f t="shared" si="6"/>
        <v>39</v>
      </c>
      <c r="I84" s="52">
        <v>5</v>
      </c>
      <c r="J84" s="52" t="s">
        <v>52</v>
      </c>
      <c r="K84" s="52">
        <f t="shared" si="7"/>
        <v>3</v>
      </c>
      <c r="L84" s="52" t="s">
        <v>47</v>
      </c>
      <c r="M84" s="80">
        <f t="shared" si="8"/>
        <v>2.7857142857142856</v>
      </c>
      <c r="N84" s="52">
        <f t="shared" si="9"/>
        <v>26.415094339622641</v>
      </c>
    </row>
    <row r="85" spans="1:14">
      <c r="A85" s="52">
        <v>45896</v>
      </c>
      <c r="B85" s="52" t="s">
        <v>35</v>
      </c>
      <c r="C85" s="52" t="s">
        <v>2</v>
      </c>
      <c r="D85" s="52" t="s">
        <v>44</v>
      </c>
      <c r="E85" s="52">
        <f t="shared" si="10"/>
        <v>1400</v>
      </c>
      <c r="F85" s="52">
        <v>14</v>
      </c>
      <c r="G85" s="52">
        <v>50</v>
      </c>
      <c r="H85" s="52">
        <f t="shared" si="6"/>
        <v>36</v>
      </c>
      <c r="I85" s="52">
        <v>5</v>
      </c>
      <c r="J85" s="52" t="s">
        <v>52</v>
      </c>
      <c r="K85" s="52">
        <f t="shared" si="7"/>
        <v>3</v>
      </c>
      <c r="L85" s="52" t="s">
        <v>47</v>
      </c>
      <c r="M85" s="80">
        <f t="shared" si="8"/>
        <v>2.5714285714285716</v>
      </c>
      <c r="N85" s="52">
        <f t="shared" si="9"/>
        <v>28.000000000000004</v>
      </c>
    </row>
    <row r="86" spans="1:14">
      <c r="A86" s="52">
        <v>45889</v>
      </c>
      <c r="B86" s="52" t="s">
        <v>35</v>
      </c>
      <c r="C86" s="52" t="s">
        <v>2</v>
      </c>
      <c r="D86" s="52" t="s">
        <v>44</v>
      </c>
      <c r="E86" s="52">
        <f t="shared" si="10"/>
        <v>1400</v>
      </c>
      <c r="F86" s="52">
        <v>14</v>
      </c>
      <c r="G86" s="52">
        <v>53</v>
      </c>
      <c r="H86" s="52">
        <f t="shared" si="6"/>
        <v>39</v>
      </c>
      <c r="I86" s="52">
        <v>5</v>
      </c>
      <c r="J86" s="52" t="s">
        <v>52</v>
      </c>
      <c r="K86" s="52">
        <f t="shared" si="7"/>
        <v>3</v>
      </c>
      <c r="L86" s="52" t="s">
        <v>47</v>
      </c>
      <c r="M86" s="80">
        <f t="shared" si="8"/>
        <v>2.7857142857142856</v>
      </c>
      <c r="N86" s="52">
        <f t="shared" si="9"/>
        <v>26.415094339622641</v>
      </c>
    </row>
    <row r="87" spans="1:14">
      <c r="A87" s="52">
        <v>45910</v>
      </c>
      <c r="B87" s="52" t="s">
        <v>36</v>
      </c>
      <c r="C87" s="52" t="s">
        <v>41</v>
      </c>
      <c r="D87" s="52" t="s">
        <v>44</v>
      </c>
      <c r="E87" s="52">
        <v>3050</v>
      </c>
      <c r="F87" s="52">
        <f>E87/100</f>
        <v>30.5</v>
      </c>
      <c r="G87" s="52">
        <v>32</v>
      </c>
      <c r="H87" s="52">
        <f t="shared" si="6"/>
        <v>1.5</v>
      </c>
      <c r="I87" s="52">
        <v>150</v>
      </c>
      <c r="J87" s="52" t="s">
        <v>50</v>
      </c>
      <c r="K87" s="52">
        <f t="shared" si="7"/>
        <v>1</v>
      </c>
      <c r="L87" s="52" t="s">
        <v>45</v>
      </c>
      <c r="M87" s="80">
        <f t="shared" si="8"/>
        <v>4.9180327868852458E-2</v>
      </c>
      <c r="N87" s="52">
        <f t="shared" si="9"/>
        <v>95.3125</v>
      </c>
    </row>
    <row r="88" spans="1:14">
      <c r="A88" s="52">
        <v>45903</v>
      </c>
      <c r="B88" s="52" t="s">
        <v>36</v>
      </c>
      <c r="C88" s="52" t="s">
        <v>41</v>
      </c>
      <c r="D88" s="52" t="s">
        <v>44</v>
      </c>
      <c r="E88" s="52">
        <v>3050</v>
      </c>
      <c r="F88" s="52">
        <f t="shared" ref="F88:F94" si="11">E88/100</f>
        <v>30.5</v>
      </c>
      <c r="G88" s="52">
        <v>32</v>
      </c>
      <c r="H88" s="52">
        <f t="shared" si="6"/>
        <v>1.5</v>
      </c>
      <c r="I88" s="52">
        <v>150</v>
      </c>
      <c r="J88" s="52" t="s">
        <v>50</v>
      </c>
      <c r="K88" s="52">
        <f t="shared" si="7"/>
        <v>1</v>
      </c>
      <c r="L88" s="52" t="s">
        <v>45</v>
      </c>
      <c r="M88" s="80">
        <f t="shared" si="8"/>
        <v>4.9180327868852458E-2</v>
      </c>
      <c r="N88" s="52">
        <f t="shared" si="9"/>
        <v>95.3125</v>
      </c>
    </row>
    <row r="89" spans="1:14">
      <c r="A89" s="52">
        <v>45896</v>
      </c>
      <c r="B89" s="52" t="s">
        <v>36</v>
      </c>
      <c r="C89" s="52" t="s">
        <v>41</v>
      </c>
      <c r="D89" s="52" t="s">
        <v>44</v>
      </c>
      <c r="E89" s="52">
        <v>3000</v>
      </c>
      <c r="F89" s="52">
        <f t="shared" si="11"/>
        <v>30</v>
      </c>
      <c r="G89" s="52">
        <v>32</v>
      </c>
      <c r="H89" s="52">
        <f t="shared" si="6"/>
        <v>2</v>
      </c>
      <c r="I89" s="52">
        <v>150</v>
      </c>
      <c r="J89" s="52" t="s">
        <v>50</v>
      </c>
      <c r="K89" s="52">
        <f t="shared" si="7"/>
        <v>1</v>
      </c>
      <c r="L89" s="52" t="s">
        <v>45</v>
      </c>
      <c r="M89" s="80">
        <f t="shared" si="8"/>
        <v>6.6666666666666666E-2</v>
      </c>
      <c r="N89" s="52">
        <f t="shared" si="9"/>
        <v>93.75</v>
      </c>
    </row>
    <row r="90" spans="1:14">
      <c r="A90" s="52">
        <v>45889</v>
      </c>
      <c r="B90" s="52" t="s">
        <v>36</v>
      </c>
      <c r="C90" s="52" t="s">
        <v>41</v>
      </c>
      <c r="D90" s="52" t="s">
        <v>44</v>
      </c>
      <c r="E90" s="52">
        <v>3000</v>
      </c>
      <c r="F90" s="52">
        <f t="shared" si="11"/>
        <v>30</v>
      </c>
      <c r="G90" s="52">
        <v>33</v>
      </c>
      <c r="H90" s="52">
        <f t="shared" si="6"/>
        <v>3</v>
      </c>
      <c r="I90" s="52">
        <v>150</v>
      </c>
      <c r="J90" s="52" t="s">
        <v>50</v>
      </c>
      <c r="K90" s="52">
        <f t="shared" si="7"/>
        <v>1</v>
      </c>
      <c r="L90" s="52" t="s">
        <v>45</v>
      </c>
      <c r="M90" s="80">
        <f t="shared" si="8"/>
        <v>0.1</v>
      </c>
      <c r="N90" s="52">
        <f t="shared" si="9"/>
        <v>90.909090909090907</v>
      </c>
    </row>
    <row r="91" spans="1:14">
      <c r="A91" s="52">
        <v>45910</v>
      </c>
      <c r="B91" s="52" t="s">
        <v>37</v>
      </c>
      <c r="C91" s="52" t="s">
        <v>2</v>
      </c>
      <c r="D91" s="52" t="s">
        <v>44</v>
      </c>
      <c r="E91" s="52">
        <v>1950</v>
      </c>
      <c r="F91" s="52">
        <f t="shared" si="11"/>
        <v>19.5</v>
      </c>
      <c r="G91" s="52">
        <v>100</v>
      </c>
      <c r="H91" s="52">
        <f t="shared" si="6"/>
        <v>80.5</v>
      </c>
      <c r="I91" s="52">
        <v>4</v>
      </c>
      <c r="J91" s="52" t="s">
        <v>52</v>
      </c>
      <c r="K91" s="52">
        <f t="shared" si="7"/>
        <v>3</v>
      </c>
      <c r="L91" s="52" t="s">
        <v>48</v>
      </c>
      <c r="M91" s="80">
        <f t="shared" si="8"/>
        <v>4.1282051282051286</v>
      </c>
      <c r="N91" s="52">
        <f t="shared" si="9"/>
        <v>19.5</v>
      </c>
    </row>
    <row r="92" spans="1:14">
      <c r="A92" s="52">
        <v>45903</v>
      </c>
      <c r="B92" s="52" t="s">
        <v>37</v>
      </c>
      <c r="C92" s="52" t="s">
        <v>2</v>
      </c>
      <c r="D92" s="52" t="s">
        <v>44</v>
      </c>
      <c r="E92" s="52">
        <v>2067</v>
      </c>
      <c r="F92" s="52">
        <f t="shared" si="11"/>
        <v>20.67</v>
      </c>
      <c r="G92" s="52">
        <v>90</v>
      </c>
      <c r="H92" s="52">
        <f t="shared" si="6"/>
        <v>69.33</v>
      </c>
      <c r="I92" s="52">
        <v>4</v>
      </c>
      <c r="J92" s="52" t="s">
        <v>52</v>
      </c>
      <c r="K92" s="52">
        <f t="shared" si="7"/>
        <v>3</v>
      </c>
      <c r="L92" s="52" t="s">
        <v>48</v>
      </c>
      <c r="M92" s="80">
        <f t="shared" si="8"/>
        <v>3.3541364296081273</v>
      </c>
      <c r="N92" s="52">
        <f t="shared" si="9"/>
        <v>22.966666666666669</v>
      </c>
    </row>
    <row r="93" spans="1:14">
      <c r="A93" s="52">
        <v>45896</v>
      </c>
      <c r="B93" s="52" t="s">
        <v>37</v>
      </c>
      <c r="C93" s="52" t="s">
        <v>2</v>
      </c>
      <c r="D93" s="52" t="s">
        <v>44</v>
      </c>
      <c r="E93" s="52">
        <v>2200</v>
      </c>
      <c r="F93" s="52">
        <f t="shared" si="11"/>
        <v>22</v>
      </c>
      <c r="G93" s="52">
        <v>90</v>
      </c>
      <c r="H93" s="52">
        <f t="shared" si="6"/>
        <v>68</v>
      </c>
      <c r="I93" s="52">
        <v>4</v>
      </c>
      <c r="J93" s="52" t="s">
        <v>52</v>
      </c>
      <c r="K93" s="52">
        <f t="shared" si="7"/>
        <v>3</v>
      </c>
      <c r="L93" s="52" t="s">
        <v>48</v>
      </c>
      <c r="M93" s="80">
        <f t="shared" si="8"/>
        <v>3.0909090909090908</v>
      </c>
      <c r="N93" s="52">
        <f t="shared" si="9"/>
        <v>24.444444444444443</v>
      </c>
    </row>
    <row r="94" spans="1:14">
      <c r="A94" s="52">
        <v>45889</v>
      </c>
      <c r="B94" s="52" t="s">
        <v>37</v>
      </c>
      <c r="C94" s="52" t="s">
        <v>2</v>
      </c>
      <c r="D94" s="52" t="s">
        <v>44</v>
      </c>
      <c r="E94" s="52">
        <v>3267</v>
      </c>
      <c r="F94" s="52">
        <f t="shared" si="11"/>
        <v>32.67</v>
      </c>
      <c r="G94" s="52">
        <v>90</v>
      </c>
      <c r="H94" s="52">
        <f t="shared" si="6"/>
        <v>57.33</v>
      </c>
      <c r="I94" s="52">
        <v>4</v>
      </c>
      <c r="J94" s="52" t="s">
        <v>52</v>
      </c>
      <c r="K94" s="52">
        <f t="shared" si="7"/>
        <v>3</v>
      </c>
      <c r="L94" s="52" t="s">
        <v>48</v>
      </c>
      <c r="M94" s="80">
        <f t="shared" si="8"/>
        <v>1.7548209366391183</v>
      </c>
      <c r="N94" s="52">
        <f t="shared" si="9"/>
        <v>36.300000000000004</v>
      </c>
    </row>
    <row r="95" spans="1:14">
      <c r="A95" s="52">
        <v>45910</v>
      </c>
      <c r="B95" s="52" t="s">
        <v>34</v>
      </c>
      <c r="C95" s="52" t="s">
        <v>2</v>
      </c>
      <c r="D95" s="52" t="s">
        <v>44</v>
      </c>
      <c r="E95" s="52">
        <f>F95*100</f>
        <v>1400</v>
      </c>
      <c r="F95" s="52">
        <v>14</v>
      </c>
      <c r="G95" s="52">
        <v>28</v>
      </c>
      <c r="H95" s="52">
        <f t="shared" si="6"/>
        <v>14</v>
      </c>
      <c r="I95" s="52">
        <v>60</v>
      </c>
      <c r="J95" s="52" t="s">
        <v>50</v>
      </c>
      <c r="K95" s="52">
        <f t="shared" si="7"/>
        <v>1</v>
      </c>
      <c r="L95" s="52" t="s">
        <v>45</v>
      </c>
      <c r="M95" s="80">
        <f t="shared" si="8"/>
        <v>1</v>
      </c>
      <c r="N95" s="52">
        <f t="shared" si="9"/>
        <v>50</v>
      </c>
    </row>
    <row r="96" spans="1:14">
      <c r="A96" s="52">
        <v>45903</v>
      </c>
      <c r="B96" s="52" t="s">
        <v>34</v>
      </c>
      <c r="C96" s="52" t="s">
        <v>2</v>
      </c>
      <c r="D96" s="52" t="s">
        <v>44</v>
      </c>
      <c r="E96" s="52">
        <f t="shared" ref="E96:E110" si="12">F96*100</f>
        <v>1350</v>
      </c>
      <c r="F96" s="52">
        <v>13.5</v>
      </c>
      <c r="G96" s="52">
        <v>28</v>
      </c>
      <c r="H96" s="52">
        <f t="shared" si="6"/>
        <v>14.5</v>
      </c>
      <c r="I96" s="52">
        <v>60</v>
      </c>
      <c r="J96" s="52" t="s">
        <v>50</v>
      </c>
      <c r="K96" s="52">
        <f t="shared" si="7"/>
        <v>1</v>
      </c>
      <c r="L96" s="52" t="s">
        <v>45</v>
      </c>
      <c r="M96" s="80">
        <f t="shared" si="8"/>
        <v>1.0740740740740742</v>
      </c>
      <c r="N96" s="52">
        <f t="shared" si="9"/>
        <v>48.214285714285715</v>
      </c>
    </row>
    <row r="97" spans="1:14">
      <c r="A97" s="52">
        <v>45896</v>
      </c>
      <c r="B97" s="52" t="s">
        <v>34</v>
      </c>
      <c r="C97" s="52" t="s">
        <v>2</v>
      </c>
      <c r="D97" s="52" t="s">
        <v>44</v>
      </c>
      <c r="E97" s="52">
        <f t="shared" si="12"/>
        <v>1350</v>
      </c>
      <c r="F97" s="52">
        <v>13.5</v>
      </c>
      <c r="G97" s="52">
        <v>28</v>
      </c>
      <c r="H97" s="52">
        <f t="shared" si="6"/>
        <v>14.5</v>
      </c>
      <c r="I97" s="52">
        <v>60</v>
      </c>
      <c r="J97" s="52" t="s">
        <v>50</v>
      </c>
      <c r="K97" s="52">
        <f t="shared" si="7"/>
        <v>1</v>
      </c>
      <c r="L97" s="52" t="s">
        <v>45</v>
      </c>
      <c r="M97" s="80">
        <f t="shared" si="8"/>
        <v>1.0740740740740742</v>
      </c>
      <c r="N97" s="52">
        <f t="shared" si="9"/>
        <v>48.214285714285715</v>
      </c>
    </row>
    <row r="98" spans="1:14">
      <c r="A98" s="52">
        <v>45889</v>
      </c>
      <c r="B98" s="52" t="s">
        <v>34</v>
      </c>
      <c r="C98" s="52" t="s">
        <v>2</v>
      </c>
      <c r="D98" s="52" t="s">
        <v>44</v>
      </c>
      <c r="E98" s="52">
        <f t="shared" si="12"/>
        <v>1400</v>
      </c>
      <c r="F98" s="52">
        <v>14</v>
      </c>
      <c r="G98" s="52">
        <v>27</v>
      </c>
      <c r="H98" s="52">
        <f t="shared" si="6"/>
        <v>13</v>
      </c>
      <c r="I98" s="52">
        <v>60</v>
      </c>
      <c r="J98" s="52" t="s">
        <v>50</v>
      </c>
      <c r="K98" s="52">
        <f t="shared" si="7"/>
        <v>1</v>
      </c>
      <c r="L98" s="52" t="s">
        <v>45</v>
      </c>
      <c r="M98" s="80">
        <f t="shared" si="8"/>
        <v>0.9285714285714286</v>
      </c>
      <c r="N98" s="52">
        <f t="shared" si="9"/>
        <v>51.851851851851848</v>
      </c>
    </row>
    <row r="99" spans="1:14">
      <c r="A99" s="52">
        <v>45910</v>
      </c>
      <c r="B99" s="52" t="s">
        <v>38</v>
      </c>
      <c r="C99" s="52" t="s">
        <v>2</v>
      </c>
      <c r="D99" s="52" t="s">
        <v>44</v>
      </c>
      <c r="E99" s="52">
        <f t="shared" si="12"/>
        <v>1800</v>
      </c>
      <c r="F99" s="52">
        <v>18</v>
      </c>
      <c r="G99" s="52">
        <v>48</v>
      </c>
      <c r="H99" s="52">
        <f t="shared" si="6"/>
        <v>30</v>
      </c>
      <c r="I99" s="52">
        <v>7</v>
      </c>
      <c r="J99" s="52" t="s">
        <v>52</v>
      </c>
      <c r="K99" s="52">
        <f t="shared" si="7"/>
        <v>3</v>
      </c>
      <c r="L99" s="52" t="s">
        <v>47</v>
      </c>
      <c r="M99" s="80">
        <f t="shared" si="8"/>
        <v>1.6666666666666667</v>
      </c>
      <c r="N99" s="52">
        <f t="shared" si="9"/>
        <v>37.5</v>
      </c>
    </row>
    <row r="100" spans="1:14">
      <c r="A100" s="52">
        <v>45903</v>
      </c>
      <c r="B100" s="52" t="s">
        <v>38</v>
      </c>
      <c r="C100" s="52" t="s">
        <v>2</v>
      </c>
      <c r="D100" s="52" t="s">
        <v>44</v>
      </c>
      <c r="E100" s="52">
        <f t="shared" si="12"/>
        <v>2400</v>
      </c>
      <c r="F100" s="52">
        <v>24</v>
      </c>
      <c r="G100" s="52">
        <v>53</v>
      </c>
      <c r="H100" s="52">
        <f t="shared" si="6"/>
        <v>29</v>
      </c>
      <c r="I100" s="52">
        <v>7</v>
      </c>
      <c r="J100" s="52" t="s">
        <v>52</v>
      </c>
      <c r="K100" s="52">
        <f t="shared" si="7"/>
        <v>3</v>
      </c>
      <c r="L100" s="52" t="s">
        <v>47</v>
      </c>
      <c r="M100" s="80">
        <f t="shared" si="8"/>
        <v>1.2083333333333333</v>
      </c>
      <c r="N100" s="52">
        <f t="shared" si="9"/>
        <v>45.283018867924532</v>
      </c>
    </row>
    <row r="101" spans="1:14">
      <c r="A101" s="52">
        <v>45896</v>
      </c>
      <c r="B101" s="52" t="s">
        <v>38</v>
      </c>
      <c r="C101" s="52" t="s">
        <v>2</v>
      </c>
      <c r="D101" s="52" t="s">
        <v>44</v>
      </c>
      <c r="E101" s="52">
        <f t="shared" si="12"/>
        <v>2600</v>
      </c>
      <c r="F101" s="52">
        <v>26</v>
      </c>
      <c r="G101" s="52">
        <v>55</v>
      </c>
      <c r="H101" s="52">
        <f t="shared" si="6"/>
        <v>29</v>
      </c>
      <c r="I101" s="52">
        <v>7</v>
      </c>
      <c r="J101" s="52" t="s">
        <v>52</v>
      </c>
      <c r="K101" s="52">
        <f t="shared" si="7"/>
        <v>3</v>
      </c>
      <c r="L101" s="52" t="s">
        <v>47</v>
      </c>
      <c r="M101" s="80">
        <f t="shared" si="8"/>
        <v>1.1153846153846154</v>
      </c>
      <c r="N101" s="52">
        <f t="shared" si="9"/>
        <v>47.272727272727273</v>
      </c>
    </row>
    <row r="102" spans="1:14">
      <c r="A102" s="52">
        <v>45889</v>
      </c>
      <c r="B102" s="52" t="s">
        <v>38</v>
      </c>
      <c r="C102" s="52" t="s">
        <v>2</v>
      </c>
      <c r="D102" s="52" t="s">
        <v>44</v>
      </c>
      <c r="E102" s="52">
        <f t="shared" si="12"/>
        <v>3400</v>
      </c>
      <c r="F102" s="52">
        <v>34</v>
      </c>
      <c r="G102" s="52">
        <v>78</v>
      </c>
      <c r="H102" s="52">
        <f t="shared" si="6"/>
        <v>44</v>
      </c>
      <c r="I102" s="52">
        <v>7</v>
      </c>
      <c r="J102" s="52" t="s">
        <v>52</v>
      </c>
      <c r="K102" s="52">
        <f t="shared" si="7"/>
        <v>3</v>
      </c>
      <c r="L102" s="52" t="s">
        <v>47</v>
      </c>
      <c r="M102" s="80">
        <f t="shared" si="8"/>
        <v>1.2941176470588236</v>
      </c>
      <c r="N102" s="52">
        <f t="shared" si="9"/>
        <v>43.589743589743591</v>
      </c>
    </row>
    <row r="103" spans="1:14">
      <c r="A103" s="52">
        <v>45910</v>
      </c>
      <c r="B103" s="52" t="s">
        <v>39</v>
      </c>
      <c r="C103" s="52" t="s">
        <v>2</v>
      </c>
      <c r="D103" s="52" t="s">
        <v>44</v>
      </c>
      <c r="E103" s="52">
        <f t="shared" si="12"/>
        <v>3250</v>
      </c>
      <c r="F103" s="52">
        <v>32.5</v>
      </c>
      <c r="G103" s="52">
        <v>150</v>
      </c>
      <c r="H103" s="52">
        <f t="shared" si="6"/>
        <v>117.5</v>
      </c>
      <c r="I103" s="52">
        <v>90</v>
      </c>
      <c r="J103" s="52" t="s">
        <v>51</v>
      </c>
      <c r="K103" s="52">
        <f t="shared" si="7"/>
        <v>2</v>
      </c>
      <c r="L103" s="52" t="s">
        <v>46</v>
      </c>
      <c r="M103" s="80">
        <f t="shared" si="8"/>
        <v>3.6153846153846154</v>
      </c>
      <c r="N103" s="52">
        <f t="shared" si="9"/>
        <v>21.666666666666668</v>
      </c>
    </row>
    <row r="104" spans="1:14">
      <c r="A104" s="52">
        <v>45903</v>
      </c>
      <c r="B104" s="52" t="s">
        <v>39</v>
      </c>
      <c r="C104" s="52" t="s">
        <v>2</v>
      </c>
      <c r="D104" s="52" t="s">
        <v>44</v>
      </c>
      <c r="E104" s="52">
        <f t="shared" si="12"/>
        <v>2750</v>
      </c>
      <c r="F104" s="52">
        <v>27.5</v>
      </c>
      <c r="G104" s="52">
        <v>150</v>
      </c>
      <c r="H104" s="52">
        <f t="shared" si="6"/>
        <v>122.5</v>
      </c>
      <c r="I104" s="52">
        <v>90</v>
      </c>
      <c r="J104" s="52" t="s">
        <v>51</v>
      </c>
      <c r="K104" s="52">
        <f t="shared" si="7"/>
        <v>2</v>
      </c>
      <c r="L104" s="52" t="s">
        <v>46</v>
      </c>
      <c r="M104" s="80">
        <f t="shared" si="8"/>
        <v>4.4545454545454541</v>
      </c>
      <c r="N104" s="52">
        <f t="shared" si="9"/>
        <v>18.333333333333332</v>
      </c>
    </row>
    <row r="105" spans="1:14">
      <c r="A105" s="52">
        <v>45896</v>
      </c>
      <c r="B105" s="52" t="s">
        <v>39</v>
      </c>
      <c r="C105" s="52" t="s">
        <v>2</v>
      </c>
      <c r="D105" s="52" t="s">
        <v>44</v>
      </c>
      <c r="E105" s="52">
        <f t="shared" si="12"/>
        <v>2750</v>
      </c>
      <c r="F105" s="52">
        <v>27.5</v>
      </c>
      <c r="G105" s="52">
        <v>150</v>
      </c>
      <c r="H105" s="52">
        <f t="shared" si="6"/>
        <v>122.5</v>
      </c>
      <c r="I105" s="52">
        <v>90</v>
      </c>
      <c r="J105" s="52" t="s">
        <v>51</v>
      </c>
      <c r="K105" s="52">
        <f t="shared" si="7"/>
        <v>2</v>
      </c>
      <c r="L105" s="52" t="s">
        <v>46</v>
      </c>
      <c r="M105" s="80">
        <f t="shared" si="8"/>
        <v>4.4545454545454541</v>
      </c>
      <c r="N105" s="52">
        <f t="shared" si="9"/>
        <v>18.333333333333332</v>
      </c>
    </row>
    <row r="106" spans="1:14">
      <c r="A106" s="52">
        <v>45889</v>
      </c>
      <c r="B106" s="52" t="s">
        <v>39</v>
      </c>
      <c r="C106" s="52" t="s">
        <v>2</v>
      </c>
      <c r="D106" s="52" t="s">
        <v>44</v>
      </c>
      <c r="E106" s="52">
        <f t="shared" si="12"/>
        <v>3750</v>
      </c>
      <c r="F106" s="52">
        <v>37.5</v>
      </c>
      <c r="G106" s="52">
        <v>140</v>
      </c>
      <c r="H106" s="52">
        <f t="shared" si="6"/>
        <v>102.5</v>
      </c>
      <c r="I106" s="52">
        <v>90</v>
      </c>
      <c r="J106" s="52" t="s">
        <v>51</v>
      </c>
      <c r="K106" s="52">
        <f t="shared" si="7"/>
        <v>2</v>
      </c>
      <c r="L106" s="52" t="s">
        <v>46</v>
      </c>
      <c r="M106" s="80">
        <f t="shared" si="8"/>
        <v>2.7333333333333334</v>
      </c>
      <c r="N106" s="52">
        <f t="shared" si="9"/>
        <v>26.785714285714285</v>
      </c>
    </row>
    <row r="107" spans="1:14">
      <c r="A107" s="52">
        <v>45910</v>
      </c>
      <c r="B107" s="52" t="s">
        <v>40</v>
      </c>
      <c r="C107" s="52" t="s">
        <v>2</v>
      </c>
      <c r="D107" s="52" t="s">
        <v>44</v>
      </c>
      <c r="E107" s="52">
        <f t="shared" si="12"/>
        <v>2750</v>
      </c>
      <c r="F107" s="52">
        <v>27.5</v>
      </c>
      <c r="G107" s="52">
        <v>47</v>
      </c>
      <c r="H107" s="52">
        <f t="shared" si="6"/>
        <v>19.5</v>
      </c>
      <c r="I107" s="52">
        <v>3</v>
      </c>
      <c r="J107" s="52" t="s">
        <v>52</v>
      </c>
      <c r="K107" s="52">
        <f t="shared" si="7"/>
        <v>3</v>
      </c>
      <c r="L107" s="52" t="s">
        <v>47</v>
      </c>
      <c r="M107" s="80">
        <f t="shared" si="8"/>
        <v>0.70909090909090911</v>
      </c>
      <c r="N107" s="52">
        <f t="shared" si="9"/>
        <v>58.51063829787234</v>
      </c>
    </row>
    <row r="108" spans="1:14">
      <c r="A108" s="52">
        <v>45903</v>
      </c>
      <c r="B108" s="52" t="s">
        <v>40</v>
      </c>
      <c r="C108" s="52" t="s">
        <v>2</v>
      </c>
      <c r="D108" s="52" t="s">
        <v>44</v>
      </c>
      <c r="E108" s="52">
        <f t="shared" si="12"/>
        <v>1750</v>
      </c>
      <c r="F108" s="52">
        <v>17.5</v>
      </c>
      <c r="G108" s="52">
        <v>50</v>
      </c>
      <c r="H108" s="52">
        <f t="shared" si="6"/>
        <v>32.5</v>
      </c>
      <c r="I108" s="52">
        <v>3</v>
      </c>
      <c r="J108" s="52" t="s">
        <v>52</v>
      </c>
      <c r="K108" s="52">
        <f t="shared" si="7"/>
        <v>3</v>
      </c>
      <c r="L108" s="52" t="s">
        <v>47</v>
      </c>
      <c r="M108" s="80">
        <f t="shared" si="8"/>
        <v>1.8571428571428572</v>
      </c>
      <c r="N108" s="52">
        <f t="shared" si="9"/>
        <v>35</v>
      </c>
    </row>
    <row r="109" spans="1:14">
      <c r="A109" s="52">
        <v>45896</v>
      </c>
      <c r="B109" s="52" t="s">
        <v>40</v>
      </c>
      <c r="C109" s="52" t="s">
        <v>2</v>
      </c>
      <c r="D109" s="52" t="s">
        <v>44</v>
      </c>
      <c r="E109" s="52">
        <f t="shared" si="12"/>
        <v>1750</v>
      </c>
      <c r="F109" s="52">
        <v>17.5</v>
      </c>
      <c r="G109" s="52">
        <v>50</v>
      </c>
      <c r="H109" s="52">
        <f t="shared" si="6"/>
        <v>32.5</v>
      </c>
      <c r="I109" s="52">
        <v>3</v>
      </c>
      <c r="J109" s="52" t="s">
        <v>52</v>
      </c>
      <c r="K109" s="52">
        <f t="shared" si="7"/>
        <v>3</v>
      </c>
      <c r="L109" s="52" t="s">
        <v>47</v>
      </c>
      <c r="M109" s="80">
        <f t="shared" si="8"/>
        <v>1.8571428571428572</v>
      </c>
      <c r="N109" s="52">
        <f t="shared" si="9"/>
        <v>35</v>
      </c>
    </row>
    <row r="110" spans="1:14">
      <c r="A110" s="52">
        <v>45889</v>
      </c>
      <c r="B110" s="52" t="s">
        <v>40</v>
      </c>
      <c r="C110" s="52" t="s">
        <v>2</v>
      </c>
      <c r="D110" s="52" t="s">
        <v>44</v>
      </c>
      <c r="E110" s="52">
        <f t="shared" si="12"/>
        <v>1500</v>
      </c>
      <c r="F110" s="52">
        <v>15</v>
      </c>
      <c r="G110" s="52">
        <v>50</v>
      </c>
      <c r="H110" s="52">
        <f t="shared" si="6"/>
        <v>35</v>
      </c>
      <c r="I110" s="52">
        <v>3</v>
      </c>
      <c r="J110" s="52" t="s">
        <v>52</v>
      </c>
      <c r="K110" s="52">
        <f t="shared" si="7"/>
        <v>3</v>
      </c>
      <c r="L110" s="52" t="s">
        <v>47</v>
      </c>
      <c r="M110" s="80">
        <f t="shared" si="8"/>
        <v>2.3333333333333335</v>
      </c>
      <c r="N110" s="52">
        <f t="shared" si="9"/>
        <v>30</v>
      </c>
    </row>
  </sheetData>
  <mergeCells count="1">
    <mergeCell ref="A1:N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dimension ref="A1:J64"/>
  <sheetViews>
    <sheetView showGridLines="0" zoomScale="115" zoomScaleNormal="115" workbookViewId="0">
      <selection activeCell="C26" sqref="C26"/>
    </sheetView>
  </sheetViews>
  <sheetFormatPr defaultColWidth="8.7109375" defaultRowHeight="15"/>
  <cols>
    <col min="1" max="1" width="18" customWidth="1"/>
    <col min="2" max="3" width="12" customWidth="1"/>
    <col min="4" max="4" width="14" customWidth="1"/>
    <col min="5" max="5" width="12" customWidth="1"/>
  </cols>
  <sheetData>
    <row r="1" spans="1:10" ht="30" customHeight="1">
      <c r="A1" s="24" t="s">
        <v>6</v>
      </c>
      <c r="B1" s="25"/>
      <c r="C1" s="25"/>
      <c r="D1" s="25"/>
      <c r="E1" s="25"/>
    </row>
    <row r="3" spans="1:10" ht="25.5" customHeight="1">
      <c r="A3" s="26" t="s">
        <v>9</v>
      </c>
      <c r="B3" s="27"/>
      <c r="C3" s="27"/>
      <c r="D3" s="27"/>
      <c r="E3" s="27"/>
    </row>
    <row r="4" spans="1:10" ht="39.75" customHeight="1">
      <c r="A4" s="10" t="s">
        <v>5</v>
      </c>
      <c r="B4" s="10" t="s">
        <v>28</v>
      </c>
      <c r="C4" s="10" t="s">
        <v>27</v>
      </c>
      <c r="D4" s="10" t="s">
        <v>26</v>
      </c>
      <c r="E4" s="10" t="s">
        <v>25</v>
      </c>
    </row>
    <row r="5" spans="1:10">
      <c r="A5" s="1" t="s">
        <v>32</v>
      </c>
      <c r="B5" s="2">
        <f>AVERAGEIF('📋 Raw Data'!$B2:$B110, "Rice", '📋 Raw Data'!$F2:$F110)</f>
        <v>36.333333333333336</v>
      </c>
      <c r="C5" s="2">
        <f>AVERAGEIF('📋 Raw Data'!B2:B110,'📋 Raw Data'!B3,'📋 Raw Data'!G2:G110)</f>
        <v>41.166666666666664</v>
      </c>
      <c r="D5" s="2">
        <f t="shared" ref="D5:D13" si="0">AVERAGE(C5-B5)</f>
        <v>4.8333333333333286</v>
      </c>
      <c r="E5" s="13">
        <f>AVERAGEIF('📋 Raw Data'!B2:B110,'📋 Raw Data'!B3,'📋 Raw Data'!M2:M110)</f>
        <v>0.13385568667258807</v>
      </c>
    </row>
    <row r="6" spans="1:10">
      <c r="A6" s="3" t="s">
        <v>53</v>
      </c>
      <c r="B6" s="2">
        <f>AVERAGEIF('📋 Raw Data'!$B3:$B110, "Onion", '📋 Raw Data'!$F3:$F110)</f>
        <v>12.744166666666667</v>
      </c>
      <c r="C6" s="2">
        <f>AVERAGEIF('📋 Raw Data'!B2:B110,'📋 Raw Data'!B7,'📋 Raw Data'!G2:G110)</f>
        <v>30.166666666666668</v>
      </c>
      <c r="D6" s="2">
        <f t="shared" si="0"/>
        <v>17.422499999999999</v>
      </c>
      <c r="E6" s="13">
        <f ca="1">AVERAGEIF('📋 Raw Data'!B3:B111,'📋 Raw Data'!B7,'📋 Raw Data'!M3:M110)</f>
        <v>1.3980491709271217</v>
      </c>
    </row>
    <row r="7" spans="1:10">
      <c r="A7" s="1" t="s">
        <v>35</v>
      </c>
      <c r="B7" s="2">
        <f>AVERAGEIF('📋 Raw Data'!$B4:$B112, "Brinjal", '📋 Raw Data'!$F4:$F112)</f>
        <v>18.11</v>
      </c>
      <c r="C7" s="2">
        <f>AVERAGEIF('📋 Raw Data'!B3:B111,'📋 Raw Data'!B11,'📋 Raw Data'!G3:G111)</f>
        <v>51.666666666666664</v>
      </c>
      <c r="D7" s="2">
        <f t="shared" si="0"/>
        <v>33.556666666666665</v>
      </c>
      <c r="E7" s="13">
        <f>AVERAGEIF('📋 Raw Data'!B4:B112,'📋 Raw Data'!B11,'📋 Raw Data'!M4:M112)</f>
        <v>1.9208428491383802</v>
      </c>
    </row>
    <row r="8" spans="1:10">
      <c r="A8" s="3" t="s">
        <v>36</v>
      </c>
      <c r="B8" s="2">
        <f>AVERAGEIF('📋 Raw Data'!$B5:$B113, "Wheat", '📋 Raw Data'!$F5:$F113)</f>
        <v>28.625</v>
      </c>
      <c r="C8" s="2">
        <f>AVERAGEIF('📋 Raw Data'!B4:B112,'📋 Raw Data'!B15,'📋 Raw Data'!G4:G112)</f>
        <v>32.333333333333336</v>
      </c>
      <c r="D8" s="2">
        <f t="shared" si="0"/>
        <v>3.7083333333333357</v>
      </c>
      <c r="E8" s="13">
        <f>AVERAGEIF('📋 Raw Data'!B5:B113,'📋 Raw Data'!B15,'📋 Raw Data'!M5:M113)</f>
        <v>0.13246818285753362</v>
      </c>
    </row>
    <row r="9" spans="1:10">
      <c r="A9" s="1" t="s">
        <v>37</v>
      </c>
      <c r="B9" s="2">
        <f>AVERAGEIF('📋 Raw Data'!$B6:$B114, "Cauliflower", '📋 Raw Data'!$F6:$F114)</f>
        <v>23.945000000000004</v>
      </c>
      <c r="C9" s="2">
        <f>AVERAGEIF('📋 Raw Data'!B5:B113,'📋 Raw Data'!B19,'📋 Raw Data'!G5:G113)</f>
        <v>64.75</v>
      </c>
      <c r="D9" s="2">
        <f t="shared" si="0"/>
        <v>40.804999999999993</v>
      </c>
      <c r="E9" s="13">
        <f>AVERAGEIF('📋 Raw Data'!B6:B114,'📋 Raw Data'!B19,'📋 Raw Data'!M6:M114)</f>
        <v>1.8221246523154757</v>
      </c>
    </row>
    <row r="10" spans="1:10">
      <c r="A10" s="3" t="s">
        <v>34</v>
      </c>
      <c r="B10" s="2">
        <f>AVERAGEIF('📋 Raw Data'!$B7:$B115, "Potato", '📋 Raw Data'!$F7:$F115)</f>
        <v>8.4208333333333325</v>
      </c>
      <c r="C10" s="2">
        <f>AVERAGEIF('📋 Raw Data'!B6:B114,'📋 Raw Data'!B23,'📋 Raw Data'!G6:G114)</f>
        <v>21.666666666666668</v>
      </c>
      <c r="D10" s="2">
        <f t="shared" si="0"/>
        <v>13.245833333333335</v>
      </c>
      <c r="E10" s="13">
        <f>AVERAGEIF('📋 Raw Data'!B7:B115,'📋 Raw Data'!B23,'📋 Raw Data'!M7:M115)</f>
        <v>1.8659666386267491</v>
      </c>
    </row>
    <row r="11" spans="1:10">
      <c r="A11" s="1" t="s">
        <v>38</v>
      </c>
      <c r="B11" s="2">
        <f>AVERAGEIF('📋 Raw Data'!$B8:$B116, "Tomato", '📋 Raw Data'!$F8:$F116)</f>
        <v>25.591666666666669</v>
      </c>
      <c r="C11" s="2">
        <f>AVERAGEIF('📋 Raw Data'!B7:B115,'📋 Raw Data'!B27,'📋 Raw Data'!G7:G115)</f>
        <v>46.916666666666664</v>
      </c>
      <c r="D11" s="2">
        <f t="shared" si="0"/>
        <v>21.324999999999996</v>
      </c>
      <c r="E11" s="13">
        <f>AVERAGEIF('📋 Raw Data'!B8:B116,'📋 Raw Data'!B27,'📋 Raw Data'!M8:M116)</f>
        <v>0.95452415048404138</v>
      </c>
      <c r="J11" s="9"/>
    </row>
    <row r="12" spans="1:10">
      <c r="A12" s="3" t="s">
        <v>54</v>
      </c>
      <c r="B12" s="2">
        <f>AVERAGEIF('📋 Raw Data'!$B9:$B117, "Ginger", '📋 Raw Data'!$F9:$F117)</f>
        <v>42.583333333333336</v>
      </c>
      <c r="C12" s="2">
        <f>AVERAGEIF('📋 Raw Data'!B8:B116,'📋 Raw Data'!B31,'📋 Raw Data'!G8:G116)</f>
        <v>121.5</v>
      </c>
      <c r="D12" s="2">
        <f t="shared" si="0"/>
        <v>78.916666666666657</v>
      </c>
      <c r="E12" s="13">
        <f>AVERAGEIF('📋 Raw Data'!B9:B117,'📋 Raw Data'!B31,'📋 Raw Data'!M9:M117)</f>
        <v>2.1066842920151743</v>
      </c>
    </row>
    <row r="13" spans="1:10">
      <c r="A13" s="1" t="s">
        <v>40</v>
      </c>
      <c r="B13" s="2">
        <f>AVERAGEIF('📋 Raw Data'!$B10:$B118, "Ladyfinger", '📋 Raw Data'!$F10:$F118)</f>
        <v>35.333333333333336</v>
      </c>
      <c r="C13" s="2">
        <f>AVERAGEIF('📋 Raw Data'!B9:B117,'📋 Raw Data'!B38,'📋 Raw Data'!G9:G117)</f>
        <v>80.916666666666671</v>
      </c>
      <c r="D13" s="2">
        <f t="shared" si="0"/>
        <v>45.583333333333336</v>
      </c>
      <c r="E13" s="13">
        <f>AVERAGEIF('📋 Raw Data'!B10:B118,'📋 Raw Data'!B35,'📋 Raw Data'!M10:M118)</f>
        <v>1.5395018803865781</v>
      </c>
    </row>
    <row r="14" spans="1:10" ht="27.75" customHeight="1">
      <c r="A14" s="4" t="s">
        <v>4</v>
      </c>
      <c r="B14" s="5">
        <f>IFERROR(AVERAGE(B5:B13),"")</f>
        <v>25.742962962962967</v>
      </c>
      <c r="C14" s="5">
        <f>IFERROR(AVERAGE(C5:C13),"")</f>
        <v>54.564814814814817</v>
      </c>
      <c r="D14" s="5">
        <f>IFERROR(AVERAGE(D5:D13),"")</f>
        <v>28.82185185185185</v>
      </c>
      <c r="E14" s="14">
        <f ca="1">IFERROR(AVERAGE(E5:E13),"")</f>
        <v>1.3193352781581824</v>
      </c>
    </row>
    <row r="15" spans="1:10" ht="18" customHeight="1">
      <c r="H15" s="8"/>
    </row>
    <row r="16" spans="1:10" ht="30" customHeight="1">
      <c r="A16" s="28" t="s">
        <v>8</v>
      </c>
      <c r="B16" s="29"/>
      <c r="C16" s="29"/>
      <c r="D16" s="29"/>
      <c r="H16" s="8"/>
    </row>
    <row r="17" spans="1:4" ht="47.25" customHeight="1">
      <c r="A17" s="10" t="s">
        <v>3</v>
      </c>
      <c r="B17" s="10" t="s">
        <v>28</v>
      </c>
      <c r="C17" s="10" t="s">
        <v>27</v>
      </c>
      <c r="D17" s="10" t="s">
        <v>25</v>
      </c>
    </row>
    <row r="18" spans="1:4" ht="20.25" customHeight="1">
      <c r="A18" s="6" t="s">
        <v>55</v>
      </c>
      <c r="B18" s="22">
        <f>AVERAGE('📋 Raw Data'!F3:F38)</f>
        <v>24.213333333333328</v>
      </c>
      <c r="C18" s="22">
        <f>AVERAGE('📋 Raw Data'!G3:G38)</f>
        <v>49.444444444444443</v>
      </c>
      <c r="D18" s="15">
        <f>AVERAGE('📋 Raw Data'!M3:M38)</f>
        <v>1.249371652097216</v>
      </c>
    </row>
    <row r="19" spans="1:4" ht="22.5" customHeight="1">
      <c r="A19" s="1" t="s">
        <v>56</v>
      </c>
      <c r="B19" s="22">
        <f>AVERAGE('📋 Raw Data'!F39:F74)</f>
        <v>29.933055555555558</v>
      </c>
      <c r="C19" s="22">
        <f>AVERAGE('📋 Raw Data'!G39:G74)</f>
        <v>55.083333333333336</v>
      </c>
      <c r="D19" s="15">
        <f>AVERAGE('📋 Raw Data'!M39:M74)</f>
        <v>0.99901242296090231</v>
      </c>
    </row>
    <row r="20" spans="1:4" ht="20.25" customHeight="1">
      <c r="A20" s="6" t="s">
        <v>57</v>
      </c>
      <c r="B20" s="22">
        <f>AVERAGE('📋 Raw Data'!F75:F110)</f>
        <v>23.0825</v>
      </c>
      <c r="C20" s="22">
        <f>AVERAGE('📋 Raw Data'!G75:G110)</f>
        <v>59.166666666666664</v>
      </c>
      <c r="D20" s="15">
        <f>AVERAGE('📋 Raw Data'!M75:M110)</f>
        <v>1.7096217594164291</v>
      </c>
    </row>
    <row r="21" spans="1:4" ht="20.25" customHeight="1"/>
    <row r="22" spans="1:4" ht="14.25" customHeight="1">
      <c r="A22" s="7"/>
      <c r="B22" s="7"/>
      <c r="C22" s="7"/>
      <c r="D22" s="7"/>
    </row>
    <row r="23" spans="1:4" ht="26.25" customHeight="1">
      <c r="A23" s="30" t="s">
        <v>58</v>
      </c>
      <c r="B23" s="31"/>
      <c r="C23" s="31"/>
      <c r="D23" s="31"/>
    </row>
    <row r="24" spans="1:4" ht="24">
      <c r="A24" s="10" t="s">
        <v>10</v>
      </c>
      <c r="B24" s="10" t="s">
        <v>59</v>
      </c>
      <c r="C24" s="10" t="s">
        <v>60</v>
      </c>
      <c r="D24" s="10" t="s">
        <v>61</v>
      </c>
    </row>
    <row r="25" spans="1:4">
      <c r="A25" s="1" t="s">
        <v>32</v>
      </c>
      <c r="B25" s="20">
        <f>MAX('📋 Raw Data'!G3:G6,'📋 Raw Data'!G75:G78,'📋 Raw Data'!G39:G42)</f>
        <v>43</v>
      </c>
      <c r="C25" s="21">
        <v>39</v>
      </c>
      <c r="D25" s="20">
        <f t="shared" ref="D25:D33" si="1">B25-C25</f>
        <v>4</v>
      </c>
    </row>
    <row r="26" spans="1:4">
      <c r="A26" s="3" t="s">
        <v>53</v>
      </c>
      <c r="B26" s="20">
        <f>MAX('📋 Raw Data'!$G$7:$G$10,'📋 Raw Data'!$G$43:$G$46,'📋 Raw Data'!$G$79:$G$82)</f>
        <v>38</v>
      </c>
      <c r="C26" s="21">
        <v>16</v>
      </c>
      <c r="D26" s="20">
        <f t="shared" si="1"/>
        <v>22</v>
      </c>
    </row>
    <row r="27" spans="1:4">
      <c r="A27" s="1" t="s">
        <v>35</v>
      </c>
      <c r="B27" s="20">
        <f>MAX('📋 Raw Data'!G11:G14, '📋 Raw Data'!G47:G50,'📋 Raw Data'!G83:G86)</f>
        <v>53</v>
      </c>
      <c r="C27" s="21">
        <v>50</v>
      </c>
      <c r="D27" s="20">
        <f t="shared" si="1"/>
        <v>3</v>
      </c>
    </row>
    <row r="28" spans="1:4">
      <c r="A28" s="3" t="s">
        <v>36</v>
      </c>
      <c r="B28" s="20">
        <f>MAX('📋 Raw Data'!G15:G18,'📋 Raw Data'!G51:G54,'📋 Raw Data'!G87:G90)</f>
        <v>33</v>
      </c>
      <c r="C28" s="21">
        <v>31</v>
      </c>
      <c r="D28" s="20">
        <f t="shared" si="1"/>
        <v>2</v>
      </c>
    </row>
    <row r="29" spans="1:4">
      <c r="A29" s="1" t="s">
        <v>37</v>
      </c>
      <c r="B29" s="20">
        <f>MAX('📋 Raw Data'!G19:G22,'📋 Raw Data'!G55:G58,'📋 Raw Data'!G91:G94)</f>
        <v>100</v>
      </c>
      <c r="C29" s="21">
        <v>37</v>
      </c>
      <c r="D29" s="20">
        <f t="shared" si="1"/>
        <v>63</v>
      </c>
    </row>
    <row r="30" spans="1:4">
      <c r="A30" s="3" t="s">
        <v>34</v>
      </c>
      <c r="B30" s="20">
        <f>MAX('📋 Raw Data'!G22:G25,'📋 Raw Data'!G59:G62,'📋 Raw Data'!G95:G98)</f>
        <v>50</v>
      </c>
      <c r="C30" s="21">
        <v>15</v>
      </c>
      <c r="D30" s="20">
        <f t="shared" si="1"/>
        <v>35</v>
      </c>
    </row>
    <row r="31" spans="1:4">
      <c r="A31" s="1" t="s">
        <v>38</v>
      </c>
      <c r="B31" s="20">
        <f>MAX('📋 Raw Data'!G25:G28,'📋 Raw Data'!G27:G30,'📋 Raw Data'!G63:G66,'📋 Raw Data'!G99:G102)</f>
        <v>78</v>
      </c>
      <c r="C31" s="21">
        <v>25</v>
      </c>
      <c r="D31" s="20">
        <f t="shared" si="1"/>
        <v>53</v>
      </c>
    </row>
    <row r="32" spans="1:4">
      <c r="A32" s="3" t="s">
        <v>54</v>
      </c>
      <c r="B32" s="20">
        <f>MAX('📋 Raw Data'!G28:G31,'📋 Raw Data'!G67:G70,'📋 Raw Data'!G103:G106)</f>
        <v>150</v>
      </c>
      <c r="C32" s="21">
        <v>100</v>
      </c>
      <c r="D32" s="20">
        <f t="shared" si="1"/>
        <v>50</v>
      </c>
    </row>
    <row r="33" spans="1:4">
      <c r="A33" s="1" t="s">
        <v>40</v>
      </c>
      <c r="B33" s="20">
        <f>MAX('📋 Raw Data'!G32:G35,'📋 Raw Data'!G71:G74,'📋 Raw Data'!G107:G110)</f>
        <v>120</v>
      </c>
      <c r="C33" s="21">
        <v>47</v>
      </c>
      <c r="D33" s="20">
        <f t="shared" si="1"/>
        <v>73</v>
      </c>
    </row>
    <row r="35" spans="1:4" ht="23.25" customHeight="1">
      <c r="A35" s="30" t="s">
        <v>12</v>
      </c>
      <c r="B35" s="31"/>
      <c r="C35" s="31"/>
      <c r="D35" s="31"/>
    </row>
    <row r="36" spans="1:4" ht="24">
      <c r="A36" s="10" t="s">
        <v>10</v>
      </c>
      <c r="B36" s="10" t="s">
        <v>29</v>
      </c>
      <c r="C36" s="10" t="s">
        <v>26</v>
      </c>
      <c r="D36" s="10" t="s">
        <v>25</v>
      </c>
    </row>
    <row r="37" spans="1:4">
      <c r="A37" s="1" t="s">
        <v>32</v>
      </c>
      <c r="B37" s="6">
        <v>180</v>
      </c>
      <c r="C37" s="2">
        <v>4.8333333333333286</v>
      </c>
      <c r="D37" s="13">
        <v>0.13385568667258807</v>
      </c>
    </row>
    <row r="38" spans="1:4">
      <c r="A38" s="3" t="s">
        <v>53</v>
      </c>
      <c r="B38" s="1">
        <v>45</v>
      </c>
      <c r="C38" s="2">
        <v>17.422499999999999</v>
      </c>
      <c r="D38" s="13">
        <v>1.3980491709271217</v>
      </c>
    </row>
    <row r="39" spans="1:4">
      <c r="A39" s="1" t="s">
        <v>35</v>
      </c>
      <c r="B39" s="6">
        <v>5</v>
      </c>
      <c r="C39" s="2">
        <v>33.556666666666665</v>
      </c>
      <c r="D39" s="13">
        <v>1.9208428491383802</v>
      </c>
    </row>
    <row r="40" spans="1:4">
      <c r="A40" s="3" t="s">
        <v>36</v>
      </c>
      <c r="B40" s="1">
        <v>150</v>
      </c>
      <c r="C40" s="2">
        <v>3.7083333333333357</v>
      </c>
      <c r="D40" s="13">
        <v>0.13246818285753362</v>
      </c>
    </row>
    <row r="41" spans="1:4">
      <c r="A41" s="1" t="s">
        <v>37</v>
      </c>
      <c r="B41" s="6">
        <v>4</v>
      </c>
      <c r="C41" s="2">
        <v>40.804999999999993</v>
      </c>
      <c r="D41" s="13">
        <v>1.8221246523154757</v>
      </c>
    </row>
    <row r="42" spans="1:4">
      <c r="A42" s="3" t="s">
        <v>34</v>
      </c>
      <c r="B42" s="1">
        <v>60</v>
      </c>
      <c r="C42" s="2">
        <v>13.245833333333335</v>
      </c>
      <c r="D42" s="13">
        <v>1.8659666386267491</v>
      </c>
    </row>
    <row r="43" spans="1:4">
      <c r="A43" s="1" t="s">
        <v>38</v>
      </c>
      <c r="B43" s="6">
        <v>7</v>
      </c>
      <c r="C43" s="2">
        <v>21.324999999999996</v>
      </c>
      <c r="D43" s="13">
        <v>0.95452415048404138</v>
      </c>
    </row>
    <row r="44" spans="1:4">
      <c r="A44" s="3" t="s">
        <v>54</v>
      </c>
      <c r="B44" s="1">
        <v>90</v>
      </c>
      <c r="C44" s="2">
        <v>78.916666666666657</v>
      </c>
      <c r="D44" s="13">
        <v>2.1066842920151743</v>
      </c>
    </row>
    <row r="45" spans="1:4">
      <c r="A45" s="1" t="s">
        <v>40</v>
      </c>
      <c r="B45" s="6">
        <v>3</v>
      </c>
      <c r="C45" s="2">
        <v>45.583333333333336</v>
      </c>
      <c r="D45" s="13">
        <v>1.5395018803865781</v>
      </c>
    </row>
    <row r="47" spans="1:4" ht="23.25" customHeight="1">
      <c r="A47" s="30" t="s">
        <v>11</v>
      </c>
      <c r="B47" s="32"/>
      <c r="C47" s="32"/>
      <c r="D47" s="32"/>
    </row>
    <row r="48" spans="1:4" ht="22.5" customHeight="1">
      <c r="A48" s="10" t="s">
        <v>10</v>
      </c>
      <c r="B48" s="10" t="s">
        <v>30</v>
      </c>
      <c r="C48" s="10" t="s">
        <v>25</v>
      </c>
    </row>
    <row r="49" spans="1:3">
      <c r="A49" s="1" t="s">
        <v>32</v>
      </c>
      <c r="B49" s="18" t="s">
        <v>50</v>
      </c>
      <c r="C49" s="17">
        <v>0.13385568667258807</v>
      </c>
    </row>
    <row r="50" spans="1:3">
      <c r="A50" s="3" t="s">
        <v>53</v>
      </c>
      <c r="B50" s="19" t="s">
        <v>51</v>
      </c>
      <c r="C50" s="13">
        <v>1.3980491709271217</v>
      </c>
    </row>
    <row r="51" spans="1:3">
      <c r="A51" s="1" t="s">
        <v>35</v>
      </c>
      <c r="B51" s="18" t="s">
        <v>52</v>
      </c>
      <c r="C51" s="17">
        <v>1.9208428491383802</v>
      </c>
    </row>
    <row r="52" spans="1:3">
      <c r="A52" s="3" t="s">
        <v>36</v>
      </c>
      <c r="B52" s="19" t="s">
        <v>50</v>
      </c>
      <c r="C52" s="13">
        <v>0.13246818285753362</v>
      </c>
    </row>
    <row r="53" spans="1:3">
      <c r="A53" s="1" t="s">
        <v>37</v>
      </c>
      <c r="B53" s="18" t="s">
        <v>52</v>
      </c>
      <c r="C53" s="17">
        <v>1.8221246523154757</v>
      </c>
    </row>
    <row r="54" spans="1:3">
      <c r="A54" s="3" t="s">
        <v>34</v>
      </c>
      <c r="B54" s="19" t="s">
        <v>50</v>
      </c>
      <c r="C54" s="13">
        <v>1.8659666386267491</v>
      </c>
    </row>
    <row r="55" spans="1:3">
      <c r="A55" s="1" t="s">
        <v>38</v>
      </c>
      <c r="B55" s="18" t="s">
        <v>52</v>
      </c>
      <c r="C55" s="17">
        <v>0.95452415048404138</v>
      </c>
    </row>
    <row r="56" spans="1:3">
      <c r="A56" s="3" t="s">
        <v>54</v>
      </c>
      <c r="B56" s="19" t="s">
        <v>51</v>
      </c>
      <c r="C56" s="13">
        <v>2.1066842920151743</v>
      </c>
    </row>
    <row r="57" spans="1:3">
      <c r="A57" s="1" t="s">
        <v>40</v>
      </c>
      <c r="B57" s="18" t="s">
        <v>52</v>
      </c>
      <c r="C57" s="17">
        <v>1.5395018803865781</v>
      </c>
    </row>
    <row r="58" spans="1:3" ht="12.75" customHeight="1"/>
    <row r="59" spans="1:3" ht="20.25" customHeight="1"/>
    <row r="60" spans="1:3" ht="24" customHeight="1"/>
    <row r="61" spans="1:3" ht="22.5" customHeight="1"/>
    <row r="62" spans="1:3" ht="24.75" customHeight="1"/>
    <row r="63" spans="1:3" ht="23.25" customHeight="1"/>
    <row r="64" spans="1:3" ht="22.5" customHeight="1"/>
  </sheetData>
  <mergeCells count="6">
    <mergeCell ref="A1:E1"/>
    <mergeCell ref="A3:E3"/>
    <mergeCell ref="A16:D16"/>
    <mergeCell ref="A23:D23"/>
    <mergeCell ref="A35:D35"/>
    <mergeCell ref="A47:D47"/>
  </mergeCell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dimension ref="A1:W245"/>
  <sheetViews>
    <sheetView tabSelected="1" zoomScale="40" zoomScaleNormal="40" workbookViewId="0">
      <selection activeCell="Y249" sqref="Y249"/>
    </sheetView>
  </sheetViews>
  <sheetFormatPr defaultRowHeight="15"/>
  <cols>
    <col min="1" max="1" width="27.7109375" customWidth="1"/>
    <col min="2" max="2" width="18.7109375" customWidth="1"/>
  </cols>
  <sheetData>
    <row r="1" spans="1:18" s="16" customFormat="1" ht="26.25" customHeight="1">
      <c r="A1" s="74" t="s">
        <v>69</v>
      </c>
      <c r="B1" s="74"/>
      <c r="Q1" s="38" t="s">
        <v>67</v>
      </c>
      <c r="R1" s="38" t="s">
        <v>68</v>
      </c>
    </row>
    <row r="2" spans="1:18" ht="27.75" customHeight="1">
      <c r="A2" s="34" t="s">
        <v>62</v>
      </c>
      <c r="B2" s="34" t="s">
        <v>65</v>
      </c>
      <c r="Q2" s="39">
        <v>180</v>
      </c>
      <c r="R2" s="40">
        <v>0.18309859154929578</v>
      </c>
    </row>
    <row r="3" spans="1:18" ht="30" customHeight="1">
      <c r="A3" s="35" t="s">
        <v>63</v>
      </c>
      <c r="B3" s="36">
        <f>CORREL('📋 Raw Data'!I3:I110,'📋 Raw Data'!M3:M110)</f>
        <v>-0.49826007944579359</v>
      </c>
      <c r="Q3" s="41">
        <v>180</v>
      </c>
      <c r="R3" s="40">
        <v>0.18309859154929578</v>
      </c>
    </row>
    <row r="4" spans="1:18" ht="29.25" customHeight="1">
      <c r="A4" s="35" t="s">
        <v>64</v>
      </c>
      <c r="B4" s="36">
        <f>CORREL('📋 Raw Data'!K3:K110,'📋 Raw Data'!M3:M110)</f>
        <v>0.35613688441853342</v>
      </c>
      <c r="Q4" s="39">
        <v>180</v>
      </c>
      <c r="R4" s="40">
        <v>0.18309859154929578</v>
      </c>
    </row>
    <row r="5" spans="1:18">
      <c r="Q5" s="42">
        <v>180</v>
      </c>
      <c r="R5" s="40">
        <v>0.18309859154929578</v>
      </c>
    </row>
    <row r="6" spans="1:18" ht="15" customHeight="1">
      <c r="A6" s="50" t="s">
        <v>74</v>
      </c>
      <c r="B6" s="50"/>
      <c r="C6" s="50"/>
      <c r="D6" s="50"/>
      <c r="E6" s="50"/>
      <c r="F6" s="50"/>
      <c r="G6" s="50"/>
      <c r="H6" s="50"/>
      <c r="I6" s="50"/>
      <c r="J6" s="50"/>
      <c r="K6" s="50"/>
      <c r="L6" s="33"/>
      <c r="Q6" s="42">
        <v>45</v>
      </c>
      <c r="R6" s="40">
        <v>1.7272727272727273</v>
      </c>
    </row>
    <row r="7" spans="1:18">
      <c r="A7" s="50"/>
      <c r="B7" s="50"/>
      <c r="C7" s="50"/>
      <c r="D7" s="50"/>
      <c r="E7" s="50"/>
      <c r="F7" s="50"/>
      <c r="G7" s="50"/>
      <c r="H7" s="50"/>
      <c r="I7" s="50"/>
      <c r="J7" s="50"/>
      <c r="K7" s="50"/>
      <c r="L7" s="33"/>
      <c r="Q7" s="42">
        <v>45</v>
      </c>
      <c r="R7" s="40">
        <v>1.4489795918367347</v>
      </c>
    </row>
    <row r="8" spans="1:18">
      <c r="A8" s="50"/>
      <c r="B8" s="50"/>
      <c r="C8" s="50"/>
      <c r="D8" s="50"/>
      <c r="E8" s="50"/>
      <c r="F8" s="50"/>
      <c r="G8" s="50"/>
      <c r="H8" s="50"/>
      <c r="I8" s="50"/>
      <c r="J8" s="50"/>
      <c r="K8" s="50"/>
      <c r="L8" s="33"/>
      <c r="Q8" s="42">
        <v>45</v>
      </c>
      <c r="R8" s="40">
        <v>1.4489795918367347</v>
      </c>
    </row>
    <row r="9" spans="1:18">
      <c r="A9" s="50"/>
      <c r="B9" s="50"/>
      <c r="C9" s="50"/>
      <c r="D9" s="50"/>
      <c r="E9" s="50"/>
      <c r="F9" s="50"/>
      <c r="G9" s="50"/>
      <c r="H9" s="50"/>
      <c r="I9" s="50"/>
      <c r="J9" s="50"/>
      <c r="K9" s="50"/>
      <c r="Q9" s="42">
        <v>45</v>
      </c>
      <c r="R9" s="40">
        <v>0.33333333333333331</v>
      </c>
    </row>
    <row r="10" spans="1:18">
      <c r="A10" s="50"/>
      <c r="B10" s="50"/>
      <c r="C10" s="50"/>
      <c r="D10" s="50"/>
      <c r="E10" s="50"/>
      <c r="F10" s="50"/>
      <c r="G10" s="50"/>
      <c r="H10" s="50"/>
      <c r="I10" s="50"/>
      <c r="J10" s="50"/>
      <c r="K10" s="50"/>
      <c r="Q10" s="42">
        <v>5</v>
      </c>
      <c r="R10" s="40">
        <v>1.6041666666666667</v>
      </c>
    </row>
    <row r="11" spans="1:18">
      <c r="A11" s="50"/>
      <c r="B11" s="50"/>
      <c r="C11" s="50"/>
      <c r="D11" s="50"/>
      <c r="E11" s="50"/>
      <c r="F11" s="50"/>
      <c r="G11" s="50"/>
      <c r="H11" s="50"/>
      <c r="I11" s="50"/>
      <c r="J11" s="50"/>
      <c r="K11" s="50"/>
      <c r="Q11" s="42">
        <v>5</v>
      </c>
      <c r="R11" s="40">
        <v>1.5</v>
      </c>
    </row>
    <row r="12" spans="1:18">
      <c r="A12" s="50"/>
      <c r="B12" s="50"/>
      <c r="C12" s="50"/>
      <c r="D12" s="50"/>
      <c r="E12" s="50"/>
      <c r="F12" s="50"/>
      <c r="G12" s="50"/>
      <c r="H12" s="50"/>
      <c r="I12" s="50"/>
      <c r="J12" s="50"/>
      <c r="K12" s="50"/>
      <c r="Q12" s="42">
        <v>5</v>
      </c>
      <c r="R12" s="40">
        <v>1.8108108108108107</v>
      </c>
    </row>
    <row r="13" spans="1:18">
      <c r="Q13" s="42">
        <v>5</v>
      </c>
      <c r="R13" s="40">
        <v>1.7548209366391188</v>
      </c>
    </row>
    <row r="14" spans="1:18">
      <c r="Q14" s="42">
        <v>150</v>
      </c>
      <c r="R14" s="40">
        <v>0.22222222222222221</v>
      </c>
    </row>
    <row r="15" spans="1:18" ht="30" customHeight="1">
      <c r="A15" s="72" t="s">
        <v>72</v>
      </c>
      <c r="B15" s="73"/>
      <c r="C15" s="73"/>
      <c r="D15" s="73"/>
      <c r="E15" s="73"/>
      <c r="F15" s="73"/>
      <c r="G15" s="73"/>
      <c r="H15" s="73"/>
      <c r="I15" s="73"/>
      <c r="J15" s="73"/>
      <c r="Q15" s="42">
        <v>150</v>
      </c>
      <c r="R15" s="40">
        <v>0.22222222222222221</v>
      </c>
    </row>
    <row r="16" spans="1:18">
      <c r="Q16" s="42">
        <v>150</v>
      </c>
      <c r="R16" s="40">
        <v>0.21100917431192662</v>
      </c>
    </row>
    <row r="17" spans="1:18">
      <c r="Q17" s="42">
        <v>150</v>
      </c>
      <c r="R17" s="40">
        <v>0.21100917431192662</v>
      </c>
    </row>
    <row r="18" spans="1:18">
      <c r="Q18" s="42">
        <v>4</v>
      </c>
      <c r="R18" s="40">
        <v>0.875</v>
      </c>
    </row>
    <row r="19" spans="1:18">
      <c r="Q19" s="42">
        <v>4</v>
      </c>
      <c r="R19" s="40">
        <v>1.2333333333333334</v>
      </c>
    </row>
    <row r="20" spans="1:18">
      <c r="Q20" s="42">
        <v>4</v>
      </c>
      <c r="R20" s="40">
        <v>0.56666666666666665</v>
      </c>
    </row>
    <row r="21" spans="1:18">
      <c r="Q21" s="42">
        <v>4</v>
      </c>
      <c r="R21" s="40">
        <v>2.3333333333333335</v>
      </c>
    </row>
    <row r="22" spans="1:18">
      <c r="Q22" s="42">
        <v>60</v>
      </c>
      <c r="R22" s="40">
        <v>1.5423728813559321</v>
      </c>
    </row>
    <row r="23" spans="1:18">
      <c r="Q23" s="42">
        <v>60</v>
      </c>
      <c r="R23" s="40">
        <v>2.6866359447004609</v>
      </c>
    </row>
    <row r="24" spans="1:18">
      <c r="Q24" s="42">
        <v>60</v>
      </c>
      <c r="R24" s="40">
        <v>2.9170506912442398</v>
      </c>
    </row>
    <row r="25" spans="1:18" ht="9.75" customHeight="1">
      <c r="Q25" s="42">
        <v>60</v>
      </c>
      <c r="R25" s="40">
        <v>2.5294117647058822</v>
      </c>
    </row>
    <row r="26" spans="1:18" hidden="1">
      <c r="Q26" s="42">
        <v>7</v>
      </c>
      <c r="R26" s="40">
        <v>1.5</v>
      </c>
    </row>
    <row r="27" spans="1:18">
      <c r="Q27" s="42">
        <v>7</v>
      </c>
      <c r="R27" s="40">
        <v>0.70731707317073167</v>
      </c>
    </row>
    <row r="28" spans="1:18">
      <c r="A28" s="12"/>
      <c r="B28" s="37"/>
      <c r="C28" s="37"/>
      <c r="Q28" s="42">
        <v>7</v>
      </c>
      <c r="R28" s="40">
        <v>1.5000000000000002</v>
      </c>
    </row>
    <row r="29" spans="1:18" ht="22.5" customHeight="1">
      <c r="A29" s="12"/>
      <c r="B29" s="37"/>
      <c r="C29" s="37"/>
      <c r="Q29" s="42">
        <v>7</v>
      </c>
      <c r="R29" s="40">
        <v>0.87969924812030065</v>
      </c>
    </row>
    <row r="30" spans="1:18">
      <c r="Q30" s="42">
        <v>90</v>
      </c>
      <c r="R30" s="40">
        <v>1.3076923076923077</v>
      </c>
    </row>
    <row r="31" spans="1:18">
      <c r="Q31" s="42">
        <v>90</v>
      </c>
      <c r="R31" s="40">
        <v>1.2156862745098038</v>
      </c>
    </row>
    <row r="32" spans="1:18" ht="15" customHeight="1">
      <c r="A32" s="49" t="s">
        <v>70</v>
      </c>
      <c r="B32" s="49"/>
      <c r="C32" s="49"/>
      <c r="D32" s="49"/>
      <c r="E32" s="49"/>
      <c r="F32" s="49"/>
      <c r="G32" s="49"/>
      <c r="H32" s="49"/>
      <c r="I32" s="49"/>
      <c r="J32" s="49"/>
      <c r="K32" s="49"/>
      <c r="Q32" s="42">
        <v>90</v>
      </c>
      <c r="R32" s="40">
        <v>1.0980392156862746</v>
      </c>
    </row>
    <row r="33" spans="1:18" ht="15" customHeight="1">
      <c r="A33" s="49"/>
      <c r="B33" s="49"/>
      <c r="C33" s="49"/>
      <c r="D33" s="49"/>
      <c r="E33" s="49"/>
      <c r="F33" s="49"/>
      <c r="G33" s="49"/>
      <c r="H33" s="49"/>
      <c r="I33" s="49"/>
      <c r="J33" s="49"/>
      <c r="K33" s="49"/>
      <c r="Q33" s="42">
        <v>90</v>
      </c>
      <c r="R33" s="40">
        <v>1.2222222222222223</v>
      </c>
    </row>
    <row r="34" spans="1:18" ht="15" customHeight="1">
      <c r="A34" s="49"/>
      <c r="B34" s="49"/>
      <c r="C34" s="49"/>
      <c r="D34" s="49"/>
      <c r="E34" s="49"/>
      <c r="F34" s="49"/>
      <c r="G34" s="49"/>
      <c r="H34" s="49"/>
      <c r="I34" s="49"/>
      <c r="J34" s="49"/>
      <c r="K34" s="49"/>
      <c r="Q34" s="42">
        <v>3</v>
      </c>
      <c r="R34" s="40">
        <v>2.1578947368421053</v>
      </c>
    </row>
    <row r="35" spans="1:18" ht="15" customHeight="1">
      <c r="A35" s="49"/>
      <c r="B35" s="49"/>
      <c r="C35" s="49"/>
      <c r="D35" s="49"/>
      <c r="E35" s="49"/>
      <c r="F35" s="49"/>
      <c r="G35" s="49"/>
      <c r="H35" s="49"/>
      <c r="I35" s="49"/>
      <c r="J35" s="49"/>
      <c r="K35" s="49"/>
      <c r="Q35" s="42">
        <v>3</v>
      </c>
      <c r="R35" s="40">
        <v>2.3199999999999998</v>
      </c>
    </row>
    <row r="36" spans="1:18" ht="15" customHeight="1">
      <c r="A36" s="49"/>
      <c r="B36" s="49"/>
      <c r="C36" s="49"/>
      <c r="D36" s="49"/>
      <c r="E36" s="49"/>
      <c r="F36" s="49"/>
      <c r="G36" s="49"/>
      <c r="H36" s="49"/>
      <c r="I36" s="49"/>
      <c r="J36" s="49"/>
      <c r="K36" s="49"/>
      <c r="Q36" s="42">
        <v>3</v>
      </c>
      <c r="R36" s="40">
        <v>1.8064516129032258</v>
      </c>
    </row>
    <row r="37" spans="1:18" ht="15" customHeight="1">
      <c r="A37" s="49"/>
      <c r="B37" s="49"/>
      <c r="C37" s="49"/>
      <c r="D37" s="49"/>
      <c r="E37" s="49"/>
      <c r="F37" s="49"/>
      <c r="G37" s="49"/>
      <c r="H37" s="49"/>
      <c r="I37" s="49"/>
      <c r="J37" s="49"/>
      <c r="K37" s="49"/>
      <c r="Q37" s="42">
        <v>3</v>
      </c>
      <c r="R37" s="40">
        <v>1.3513513513513513</v>
      </c>
    </row>
    <row r="38" spans="1:18">
      <c r="A38" s="49"/>
      <c r="B38" s="49"/>
      <c r="C38" s="49"/>
      <c r="D38" s="49"/>
      <c r="E38" s="49"/>
      <c r="F38" s="49"/>
      <c r="G38" s="49"/>
      <c r="H38" s="49"/>
      <c r="I38" s="49"/>
      <c r="J38" s="49"/>
      <c r="K38" s="49"/>
      <c r="Q38" s="42">
        <v>180</v>
      </c>
      <c r="R38" s="40">
        <v>0.16216216216216217</v>
      </c>
    </row>
    <row r="39" spans="1:18">
      <c r="Q39" s="42">
        <v>180</v>
      </c>
      <c r="R39" s="40">
        <v>0.16216216216216217</v>
      </c>
    </row>
    <row r="40" spans="1:18" ht="8.25" customHeight="1">
      <c r="Q40" s="42">
        <v>180</v>
      </c>
      <c r="R40" s="40">
        <v>0.16666666666666666</v>
      </c>
    </row>
    <row r="41" spans="1:18" ht="28.5" customHeight="1">
      <c r="A41" s="75" t="s">
        <v>71</v>
      </c>
      <c r="B41" s="76"/>
      <c r="C41" s="76"/>
      <c r="D41" s="76"/>
      <c r="E41" s="76"/>
      <c r="F41" s="76"/>
      <c r="G41" s="76"/>
      <c r="H41" s="76"/>
      <c r="I41" s="76"/>
      <c r="J41" s="76"/>
      <c r="K41" s="76"/>
      <c r="Q41" s="42">
        <v>180</v>
      </c>
      <c r="R41" s="40">
        <v>0.16666666666666666</v>
      </c>
    </row>
    <row r="42" spans="1:18">
      <c r="Q42" s="42">
        <v>45</v>
      </c>
      <c r="R42" s="40">
        <v>0.74825174825174812</v>
      </c>
    </row>
    <row r="43" spans="1:18">
      <c r="Q43" s="42">
        <v>45</v>
      </c>
      <c r="R43" s="40">
        <v>1.1917808219178081</v>
      </c>
    </row>
    <row r="44" spans="1:18">
      <c r="Q44" s="42">
        <v>45</v>
      </c>
      <c r="R44" s="40">
        <v>1.1288515406162463</v>
      </c>
    </row>
    <row r="45" spans="1:18">
      <c r="Q45" s="42">
        <v>45</v>
      </c>
      <c r="R45" s="40">
        <v>1.5592417061611372</v>
      </c>
    </row>
    <row r="46" spans="1:18">
      <c r="Q46" s="42">
        <v>5</v>
      </c>
      <c r="R46" s="40">
        <v>1.6436197254702591</v>
      </c>
    </row>
    <row r="47" spans="1:18">
      <c r="Q47" s="42">
        <v>5</v>
      </c>
      <c r="R47" s="40">
        <v>1.4480369515011549</v>
      </c>
    </row>
    <row r="48" spans="1:18">
      <c r="Q48" s="42">
        <v>5</v>
      </c>
      <c r="R48" s="40">
        <v>1.5365853658536586</v>
      </c>
    </row>
    <row r="49" spans="17:18">
      <c r="Q49" s="42">
        <v>5</v>
      </c>
      <c r="R49" s="40">
        <v>1.5806451612903227</v>
      </c>
    </row>
    <row r="50" spans="17:18">
      <c r="Q50" s="42">
        <v>150</v>
      </c>
      <c r="R50" s="40">
        <v>0.14285714285714285</v>
      </c>
    </row>
    <row r="51" spans="17:18">
      <c r="Q51" s="42">
        <v>150</v>
      </c>
      <c r="R51" s="40">
        <v>0.14285714285714285</v>
      </c>
    </row>
    <row r="52" spans="17:18">
      <c r="Q52" s="42">
        <v>150</v>
      </c>
      <c r="R52" s="40">
        <v>0.10344827586206896</v>
      </c>
    </row>
    <row r="53" spans="17:18">
      <c r="Q53" s="42">
        <v>150</v>
      </c>
      <c r="R53" s="40">
        <v>6.8965517241379309E-2</v>
      </c>
    </row>
    <row r="54" spans="17:18">
      <c r="Q54" s="42">
        <v>4</v>
      </c>
      <c r="R54" s="40">
        <v>1</v>
      </c>
    </row>
    <row r="55" spans="17:18">
      <c r="Q55" s="42">
        <v>4</v>
      </c>
      <c r="R55" s="40">
        <v>1</v>
      </c>
    </row>
    <row r="56" spans="17:18">
      <c r="Q56" s="42">
        <v>4</v>
      </c>
      <c r="R56" s="40">
        <v>1.1200000000000001</v>
      </c>
    </row>
    <row r="57" spans="17:18">
      <c r="Q57" s="42">
        <v>4</v>
      </c>
      <c r="R57" s="40">
        <v>1.4090909090909092</v>
      </c>
    </row>
    <row r="58" spans="17:18">
      <c r="Q58" s="42">
        <v>60</v>
      </c>
      <c r="R58" s="40">
        <v>1.8708133971291867</v>
      </c>
    </row>
    <row r="59" spans="17:18">
      <c r="Q59" s="42">
        <v>60</v>
      </c>
      <c r="R59" s="40">
        <v>2.3846153846153846</v>
      </c>
    </row>
    <row r="60" spans="17:18">
      <c r="Q60" s="42">
        <v>60</v>
      </c>
      <c r="R60" s="40">
        <v>2.3576642335766422</v>
      </c>
    </row>
    <row r="61" spans="17:18">
      <c r="Q61" s="42">
        <v>60</v>
      </c>
      <c r="R61" s="40">
        <v>2.0263157894736845</v>
      </c>
    </row>
    <row r="62" spans="17:18">
      <c r="Q62" s="42">
        <v>7</v>
      </c>
      <c r="R62" s="40">
        <v>0.3043478260869566</v>
      </c>
    </row>
    <row r="63" spans="17:18">
      <c r="Q63" s="42">
        <v>7</v>
      </c>
      <c r="R63" s="40">
        <v>0.46276595744680843</v>
      </c>
    </row>
    <row r="64" spans="17:18">
      <c r="Q64" s="42">
        <v>7</v>
      </c>
      <c r="R64" s="40">
        <v>0.39416983523447391</v>
      </c>
    </row>
    <row r="65" spans="1:18">
      <c r="Q65" s="42">
        <v>7</v>
      </c>
      <c r="R65" s="40">
        <v>0.42148760330578511</v>
      </c>
    </row>
    <row r="66" spans="1:18">
      <c r="Q66" s="42">
        <v>90</v>
      </c>
      <c r="R66" s="40">
        <v>1.4318181818181819</v>
      </c>
    </row>
    <row r="67" spans="1:18">
      <c r="Q67" s="42">
        <v>90</v>
      </c>
      <c r="R67" s="40">
        <v>1.3777777777777778</v>
      </c>
    </row>
    <row r="68" spans="1:18">
      <c r="Q68" s="42">
        <v>90</v>
      </c>
      <c r="R68" s="40">
        <v>1.2291666666666667</v>
      </c>
    </row>
    <row r="69" spans="1:18" ht="18.75" customHeight="1">
      <c r="A69" s="49" t="s">
        <v>73</v>
      </c>
      <c r="B69" s="48"/>
      <c r="C69" s="48"/>
      <c r="D69" s="48"/>
      <c r="E69" s="48"/>
      <c r="F69" s="48"/>
      <c r="G69" s="48"/>
      <c r="H69" s="48"/>
      <c r="I69" s="48"/>
      <c r="J69" s="48"/>
      <c r="K69" s="48"/>
      <c r="Q69" s="42">
        <v>90</v>
      </c>
      <c r="R69" s="40">
        <v>1.1399999999999999</v>
      </c>
    </row>
    <row r="70" spans="1:18" ht="18.75" customHeight="1">
      <c r="A70" s="48"/>
      <c r="B70" s="48"/>
      <c r="C70" s="48"/>
      <c r="D70" s="48"/>
      <c r="E70" s="48"/>
      <c r="F70" s="48"/>
      <c r="G70" s="48"/>
      <c r="H70" s="48"/>
      <c r="I70" s="48"/>
      <c r="J70" s="48"/>
      <c r="K70" s="48"/>
      <c r="Q70" s="42">
        <v>3</v>
      </c>
      <c r="R70" s="40">
        <v>1.34</v>
      </c>
    </row>
    <row r="71" spans="1:18" ht="18.75" customHeight="1">
      <c r="A71" s="48"/>
      <c r="B71" s="48"/>
      <c r="C71" s="48"/>
      <c r="D71" s="48"/>
      <c r="E71" s="48"/>
      <c r="F71" s="48"/>
      <c r="G71" s="48"/>
      <c r="H71" s="48"/>
      <c r="I71" s="48"/>
      <c r="J71" s="48"/>
      <c r="K71" s="48"/>
      <c r="Q71" s="42">
        <v>3</v>
      </c>
      <c r="R71" s="40">
        <v>1.4</v>
      </c>
    </row>
    <row r="72" spans="1:18" ht="18.75" customHeight="1">
      <c r="A72" s="48"/>
      <c r="B72" s="48"/>
      <c r="C72" s="48"/>
      <c r="D72" s="48"/>
      <c r="E72" s="48"/>
      <c r="F72" s="48"/>
      <c r="G72" s="48"/>
      <c r="H72" s="48"/>
      <c r="I72" s="48"/>
      <c r="J72" s="48"/>
      <c r="K72" s="48"/>
      <c r="Q72" s="42">
        <v>3</v>
      </c>
      <c r="R72" s="40">
        <v>0.42857142857142855</v>
      </c>
    </row>
    <row r="73" spans="1:18" ht="18.75" customHeight="1">
      <c r="A73" s="48"/>
      <c r="B73" s="48"/>
      <c r="C73" s="48"/>
      <c r="D73" s="48"/>
      <c r="E73" s="48"/>
      <c r="F73" s="48"/>
      <c r="G73" s="48"/>
      <c r="H73" s="48"/>
      <c r="I73" s="48"/>
      <c r="J73" s="48"/>
      <c r="K73" s="48"/>
      <c r="Q73" s="42">
        <v>3</v>
      </c>
      <c r="R73" s="40">
        <v>0.91304347826086951</v>
      </c>
    </row>
    <row r="74" spans="1:18" ht="18.75" customHeight="1">
      <c r="A74" s="48"/>
      <c r="B74" s="48"/>
      <c r="C74" s="48"/>
      <c r="D74" s="48"/>
      <c r="E74" s="48"/>
      <c r="F74" s="48"/>
      <c r="G74" s="48"/>
      <c r="H74" s="48"/>
      <c r="I74" s="48"/>
      <c r="J74" s="48"/>
      <c r="K74" s="48"/>
      <c r="Q74" s="42">
        <v>180</v>
      </c>
      <c r="R74" s="40">
        <v>5.4054054054054057E-2</v>
      </c>
    </row>
    <row r="75" spans="1:18">
      <c r="Q75" s="42">
        <v>180</v>
      </c>
      <c r="R75" s="40">
        <v>5.4054054054054057E-2</v>
      </c>
    </row>
    <row r="76" spans="1:18">
      <c r="Q76" s="42">
        <v>180</v>
      </c>
      <c r="R76" s="40">
        <v>5.4054054054054057E-2</v>
      </c>
    </row>
    <row r="77" spans="1:18" ht="27" customHeight="1">
      <c r="A77" s="74" t="s">
        <v>75</v>
      </c>
      <c r="B77" s="77"/>
      <c r="C77" s="77"/>
      <c r="D77" s="77"/>
      <c r="E77" s="77"/>
      <c r="F77" s="77"/>
      <c r="G77" s="77"/>
      <c r="H77" s="77"/>
      <c r="I77" s="77"/>
      <c r="J77" s="77"/>
      <c r="K77" s="77"/>
      <c r="Q77" s="42">
        <v>180</v>
      </c>
      <c r="R77" s="40">
        <v>5.4054054054054057E-2</v>
      </c>
    </row>
    <row r="78" spans="1:18">
      <c r="Q78" s="42">
        <v>45</v>
      </c>
      <c r="R78" s="40">
        <v>1.9333333333333333</v>
      </c>
    </row>
    <row r="79" spans="1:18">
      <c r="Q79" s="42">
        <v>45</v>
      </c>
      <c r="R79" s="40">
        <v>1.9333333333333333</v>
      </c>
    </row>
    <row r="80" spans="1:18">
      <c r="Q80" s="42">
        <v>45</v>
      </c>
      <c r="R80" s="40">
        <v>1.7777777777777775</v>
      </c>
    </row>
    <row r="81" spans="1:18">
      <c r="Q81" s="42">
        <v>45</v>
      </c>
      <c r="R81" s="40">
        <v>1.5454545454545454</v>
      </c>
    </row>
    <row r="82" spans="1:18">
      <c r="Q82" s="42">
        <v>5</v>
      </c>
      <c r="R82" s="40">
        <v>2.0285714285714285</v>
      </c>
    </row>
    <row r="83" spans="1:18">
      <c r="Q83" s="42">
        <v>5</v>
      </c>
      <c r="R83" s="40">
        <v>2.7857142857142856</v>
      </c>
    </row>
    <row r="84" spans="1:18">
      <c r="Q84" s="42">
        <v>5</v>
      </c>
      <c r="R84" s="40">
        <v>2.5714285714285716</v>
      </c>
    </row>
    <row r="85" spans="1:18" ht="18.75" customHeight="1">
      <c r="E85" s="45"/>
      <c r="F85" s="45"/>
      <c r="G85" s="45"/>
      <c r="H85" s="45"/>
      <c r="I85" s="45"/>
      <c r="J85" s="45"/>
      <c r="K85" s="45"/>
      <c r="Q85" s="42">
        <v>5</v>
      </c>
      <c r="R85" s="40">
        <v>2.7857142857142856</v>
      </c>
    </row>
    <row r="86" spans="1:18" ht="18.75">
      <c r="D86" s="43"/>
      <c r="E86" s="46"/>
      <c r="F86" s="46"/>
      <c r="G86" s="46"/>
      <c r="H86" s="46"/>
      <c r="I86" s="46"/>
      <c r="J86" s="46"/>
      <c r="K86" s="46"/>
      <c r="Q86" s="42">
        <v>150</v>
      </c>
      <c r="R86" s="40">
        <v>4.9180327868852458E-2</v>
      </c>
    </row>
    <row r="87" spans="1:18" ht="18.75">
      <c r="D87" s="43"/>
      <c r="E87" s="46"/>
      <c r="F87" s="46"/>
      <c r="G87" s="46"/>
      <c r="H87" s="46"/>
      <c r="I87" s="46"/>
      <c r="J87" s="46"/>
      <c r="K87" s="46"/>
      <c r="Q87" s="42">
        <v>150</v>
      </c>
      <c r="R87" s="40">
        <v>4.9180327868852458E-2</v>
      </c>
    </row>
    <row r="88" spans="1:18" ht="18.75">
      <c r="D88" s="43"/>
      <c r="E88" s="46"/>
      <c r="F88" s="46"/>
      <c r="G88" s="46"/>
      <c r="H88" s="46"/>
      <c r="I88" s="46"/>
      <c r="J88" s="46"/>
      <c r="K88" s="46"/>
      <c r="Q88" s="42">
        <v>150</v>
      </c>
      <c r="R88" s="40">
        <v>6.6666666666666666E-2</v>
      </c>
    </row>
    <row r="89" spans="1:18" ht="18.75">
      <c r="D89" s="44"/>
      <c r="E89" s="47"/>
      <c r="F89" s="47"/>
      <c r="G89" s="47"/>
      <c r="H89" s="47"/>
      <c r="I89" s="47"/>
      <c r="J89" s="47"/>
      <c r="K89" s="47"/>
      <c r="Q89" s="42">
        <v>150</v>
      </c>
      <c r="R89" s="40">
        <v>0.1</v>
      </c>
    </row>
    <row r="90" spans="1:18">
      <c r="Q90" s="42">
        <v>4</v>
      </c>
      <c r="R90" s="40">
        <v>4.1282051282051286</v>
      </c>
    </row>
    <row r="91" spans="1:18">
      <c r="Q91" s="42">
        <v>4</v>
      </c>
      <c r="R91" s="40">
        <v>3.3541364296081273</v>
      </c>
    </row>
    <row r="92" spans="1:18">
      <c r="Q92" s="42">
        <v>4</v>
      </c>
      <c r="R92" s="40">
        <v>3.0909090909090908</v>
      </c>
    </row>
    <row r="93" spans="1:18">
      <c r="Q93" s="42">
        <v>4</v>
      </c>
      <c r="R93" s="40">
        <v>1.7548209366391183</v>
      </c>
    </row>
    <row r="94" spans="1:18">
      <c r="Q94" s="42">
        <v>60</v>
      </c>
      <c r="R94" s="40">
        <v>1</v>
      </c>
    </row>
    <row r="95" spans="1:18" ht="15" customHeight="1">
      <c r="A95" s="49" t="s">
        <v>76</v>
      </c>
      <c r="B95" s="49"/>
      <c r="C95" s="49"/>
      <c r="D95" s="49"/>
      <c r="E95" s="49"/>
      <c r="F95" s="49"/>
      <c r="G95" s="49"/>
      <c r="H95" s="49"/>
      <c r="I95" s="49"/>
      <c r="J95" s="49"/>
      <c r="K95" s="49"/>
      <c r="Q95" s="42">
        <v>60</v>
      </c>
      <c r="R95" s="40">
        <v>1.0740740740740742</v>
      </c>
    </row>
    <row r="96" spans="1:18" ht="15" customHeight="1">
      <c r="A96" s="49"/>
      <c r="B96" s="49"/>
      <c r="C96" s="49"/>
      <c r="D96" s="49"/>
      <c r="E96" s="49"/>
      <c r="F96" s="49"/>
      <c r="G96" s="49"/>
      <c r="H96" s="49"/>
      <c r="I96" s="49"/>
      <c r="J96" s="49"/>
      <c r="K96" s="49"/>
      <c r="Q96" s="42">
        <v>60</v>
      </c>
      <c r="R96" s="40">
        <v>1.0740740740740742</v>
      </c>
    </row>
    <row r="97" spans="1:18" ht="15" customHeight="1">
      <c r="A97" s="49"/>
      <c r="B97" s="49"/>
      <c r="C97" s="49"/>
      <c r="D97" s="49"/>
      <c r="E97" s="49"/>
      <c r="F97" s="49"/>
      <c r="G97" s="49"/>
      <c r="H97" s="49"/>
      <c r="I97" s="49"/>
      <c r="J97" s="49"/>
      <c r="K97" s="49"/>
      <c r="Q97" s="42">
        <v>60</v>
      </c>
      <c r="R97" s="40">
        <v>0.9285714285714286</v>
      </c>
    </row>
    <row r="98" spans="1:18" ht="15" customHeight="1">
      <c r="A98" s="49"/>
      <c r="B98" s="49"/>
      <c r="C98" s="49"/>
      <c r="D98" s="49"/>
      <c r="E98" s="49"/>
      <c r="F98" s="49"/>
      <c r="G98" s="49"/>
      <c r="H98" s="49"/>
      <c r="I98" s="49"/>
      <c r="J98" s="49"/>
      <c r="K98" s="49"/>
      <c r="Q98" s="42">
        <v>7</v>
      </c>
      <c r="R98" s="40">
        <v>1.6666666666666667</v>
      </c>
    </row>
    <row r="99" spans="1:18" ht="15" customHeight="1">
      <c r="A99" s="49"/>
      <c r="B99" s="49"/>
      <c r="C99" s="49"/>
      <c r="D99" s="49"/>
      <c r="E99" s="49"/>
      <c r="F99" s="49"/>
      <c r="G99" s="49"/>
      <c r="H99" s="49"/>
      <c r="I99" s="49"/>
      <c r="J99" s="49"/>
      <c r="K99" s="49"/>
      <c r="Q99" s="42">
        <v>7</v>
      </c>
      <c r="R99" s="40">
        <v>1.2083333333333333</v>
      </c>
    </row>
    <row r="100" spans="1:18" ht="15" customHeight="1">
      <c r="A100" s="49"/>
      <c r="B100" s="49"/>
      <c r="C100" s="49"/>
      <c r="D100" s="49"/>
      <c r="E100" s="49"/>
      <c r="F100" s="49"/>
      <c r="G100" s="49"/>
      <c r="H100" s="49"/>
      <c r="I100" s="49"/>
      <c r="J100" s="49"/>
      <c r="K100" s="49"/>
      <c r="Q100" s="42">
        <v>7</v>
      </c>
      <c r="R100" s="40">
        <v>1.1153846153846154</v>
      </c>
    </row>
    <row r="101" spans="1:18">
      <c r="A101" s="49"/>
      <c r="B101" s="49"/>
      <c r="C101" s="49"/>
      <c r="D101" s="49"/>
      <c r="E101" s="49"/>
      <c r="F101" s="49"/>
      <c r="G101" s="49"/>
      <c r="H101" s="49"/>
      <c r="I101" s="49"/>
      <c r="J101" s="49"/>
      <c r="K101" s="49"/>
      <c r="Q101" s="42">
        <v>7</v>
      </c>
      <c r="R101" s="40">
        <v>1.2941176470588236</v>
      </c>
    </row>
    <row r="102" spans="1:18">
      <c r="A102" s="49"/>
      <c r="B102" s="49"/>
      <c r="C102" s="49"/>
      <c r="D102" s="49"/>
      <c r="E102" s="49"/>
      <c r="F102" s="49"/>
      <c r="G102" s="49"/>
      <c r="H102" s="49"/>
      <c r="I102" s="49"/>
      <c r="J102" s="49"/>
      <c r="K102" s="49"/>
      <c r="Q102" s="42">
        <v>90</v>
      </c>
      <c r="R102" s="40">
        <v>3.6153846153846154</v>
      </c>
    </row>
    <row r="103" spans="1:18">
      <c r="A103" s="49"/>
      <c r="B103" s="49"/>
      <c r="C103" s="49"/>
      <c r="D103" s="49"/>
      <c r="E103" s="49"/>
      <c r="F103" s="49"/>
      <c r="G103" s="49"/>
      <c r="H103" s="49"/>
      <c r="I103" s="49"/>
      <c r="J103" s="49"/>
      <c r="K103" s="49"/>
      <c r="Q103" s="42">
        <v>90</v>
      </c>
      <c r="R103" s="40">
        <v>4.4545454545454541</v>
      </c>
    </row>
    <row r="104" spans="1:18">
      <c r="Q104" s="42">
        <v>90</v>
      </c>
      <c r="R104" s="40">
        <v>4.4545454545454541</v>
      </c>
    </row>
    <row r="105" spans="1:18">
      <c r="Q105" s="42">
        <v>90</v>
      </c>
      <c r="R105" s="40">
        <v>2.7333333333333334</v>
      </c>
    </row>
    <row r="106" spans="1:18" ht="33" customHeight="1">
      <c r="A106" s="78" t="s">
        <v>79</v>
      </c>
      <c r="B106" s="79"/>
      <c r="C106" s="79"/>
      <c r="Q106" s="42">
        <v>3</v>
      </c>
      <c r="R106" s="40">
        <v>0.70909090909090911</v>
      </c>
    </row>
    <row r="107" spans="1:18" ht="31.5" customHeight="1">
      <c r="A107" s="53" t="s">
        <v>5</v>
      </c>
      <c r="B107" s="54" t="s">
        <v>78</v>
      </c>
      <c r="C107" s="54"/>
      <c r="Q107" s="42">
        <v>3</v>
      </c>
      <c r="R107" s="40">
        <v>1.8571428571428572</v>
      </c>
    </row>
    <row r="108" spans="1:18" ht="19.5" customHeight="1">
      <c r="A108" s="55" t="s">
        <v>32</v>
      </c>
      <c r="B108" s="56">
        <v>0.88419999999999999</v>
      </c>
      <c r="C108" s="56"/>
      <c r="Q108" s="42">
        <v>3</v>
      </c>
      <c r="R108" s="40">
        <v>1.8571428571428572</v>
      </c>
    </row>
    <row r="109" spans="1:18" ht="20.25" customHeight="1">
      <c r="A109" s="55" t="s">
        <v>33</v>
      </c>
      <c r="B109" s="56">
        <v>0.43809999999999999</v>
      </c>
      <c r="C109" s="56"/>
      <c r="Q109" s="42">
        <v>3</v>
      </c>
      <c r="R109" s="40">
        <v>2.3333333333333335</v>
      </c>
    </row>
    <row r="110" spans="1:18" ht="21.75" customHeight="1">
      <c r="A110" s="55" t="s">
        <v>35</v>
      </c>
      <c r="B110" s="56">
        <v>0.3508</v>
      </c>
      <c r="C110" s="56"/>
    </row>
    <row r="111" spans="1:18" ht="22.5" customHeight="1">
      <c r="A111" s="55" t="s">
        <v>36</v>
      </c>
      <c r="B111" s="56">
        <v>0.8861</v>
      </c>
      <c r="C111" s="56"/>
    </row>
    <row r="112" spans="1:18" ht="21.75" customHeight="1">
      <c r="A112" s="55" t="s">
        <v>37</v>
      </c>
      <c r="B112" s="56">
        <v>0.4032</v>
      </c>
      <c r="C112" s="56"/>
    </row>
    <row r="113" spans="1:11" ht="22.5" customHeight="1">
      <c r="A113" s="55" t="s">
        <v>34</v>
      </c>
      <c r="B113" s="56">
        <v>0.3715</v>
      </c>
      <c r="C113" s="56"/>
    </row>
    <row r="114" spans="1:11" ht="21.75" customHeight="1">
      <c r="A114" s="55" t="s">
        <v>38</v>
      </c>
      <c r="B114" s="56">
        <v>0.54379999999999995</v>
      </c>
      <c r="C114" s="56"/>
    </row>
    <row r="115" spans="1:11" ht="22.5" customHeight="1">
      <c r="A115" s="55" t="s">
        <v>39</v>
      </c>
      <c r="B115" s="56">
        <v>0.36749999999999999</v>
      </c>
      <c r="C115" s="56"/>
    </row>
    <row r="116" spans="1:11" ht="22.5" customHeight="1">
      <c r="A116" s="55" t="s">
        <v>40</v>
      </c>
      <c r="B116" s="56">
        <v>0.42099999999999999</v>
      </c>
      <c r="C116" s="56"/>
    </row>
    <row r="118" spans="1:11">
      <c r="A118" s="49" t="s">
        <v>80</v>
      </c>
      <c r="B118" s="49"/>
      <c r="C118" s="49"/>
      <c r="D118" s="49"/>
      <c r="E118" s="49"/>
      <c r="F118" s="49"/>
      <c r="G118" s="49"/>
      <c r="H118" s="49"/>
      <c r="I118" s="49"/>
      <c r="J118" s="49"/>
      <c r="K118" s="49"/>
    </row>
    <row r="119" spans="1:11">
      <c r="A119" s="49"/>
      <c r="B119" s="49"/>
      <c r="C119" s="49"/>
      <c r="D119" s="49"/>
      <c r="E119" s="49"/>
      <c r="F119" s="49"/>
      <c r="G119" s="49"/>
      <c r="H119" s="49"/>
      <c r="I119" s="49"/>
      <c r="J119" s="49"/>
      <c r="K119" s="49"/>
    </row>
    <row r="120" spans="1:11">
      <c r="A120" s="49"/>
      <c r="B120" s="49"/>
      <c r="C120" s="49"/>
      <c r="D120" s="49"/>
      <c r="E120" s="49"/>
      <c r="F120" s="49"/>
      <c r="G120" s="49"/>
      <c r="H120" s="49"/>
      <c r="I120" s="49"/>
      <c r="J120" s="49"/>
      <c r="K120" s="49"/>
    </row>
    <row r="121" spans="1:11">
      <c r="A121" s="49"/>
      <c r="B121" s="49"/>
      <c r="C121" s="49"/>
      <c r="D121" s="49"/>
      <c r="E121" s="49"/>
      <c r="F121" s="49"/>
      <c r="G121" s="49"/>
      <c r="H121" s="49"/>
      <c r="I121" s="49"/>
      <c r="J121" s="49"/>
      <c r="K121" s="49"/>
    </row>
    <row r="122" spans="1:11">
      <c r="A122" s="49"/>
      <c r="B122" s="49"/>
      <c r="C122" s="49"/>
      <c r="D122" s="49"/>
      <c r="E122" s="49"/>
      <c r="F122" s="49"/>
      <c r="G122" s="49"/>
      <c r="H122" s="49"/>
      <c r="I122" s="49"/>
      <c r="J122" s="49"/>
      <c r="K122" s="49"/>
    </row>
    <row r="123" spans="1:11">
      <c r="A123" s="49"/>
      <c r="B123" s="49"/>
      <c r="C123" s="49"/>
      <c r="D123" s="49"/>
      <c r="E123" s="49"/>
      <c r="F123" s="49"/>
      <c r="G123" s="49"/>
      <c r="H123" s="49"/>
      <c r="I123" s="49"/>
      <c r="J123" s="49"/>
      <c r="K123" s="49"/>
    </row>
    <row r="124" spans="1:11">
      <c r="A124" s="49"/>
      <c r="B124" s="49"/>
      <c r="C124" s="49"/>
      <c r="D124" s="49"/>
      <c r="E124" s="49"/>
      <c r="F124" s="49"/>
      <c r="G124" s="49"/>
      <c r="H124" s="49"/>
      <c r="I124" s="49"/>
      <c r="J124" s="49"/>
      <c r="K124" s="49"/>
    </row>
    <row r="125" spans="1:11">
      <c r="A125" s="49"/>
      <c r="B125" s="49"/>
      <c r="C125" s="49"/>
      <c r="D125" s="49"/>
      <c r="E125" s="49"/>
      <c r="F125" s="49"/>
      <c r="G125" s="49"/>
      <c r="H125" s="49"/>
      <c r="I125" s="49"/>
      <c r="J125" s="49"/>
      <c r="K125" s="49"/>
    </row>
    <row r="126" spans="1:11">
      <c r="A126" s="49"/>
      <c r="B126" s="49"/>
      <c r="C126" s="49"/>
      <c r="D126" s="49"/>
      <c r="E126" s="49"/>
      <c r="F126" s="49"/>
      <c r="G126" s="49"/>
      <c r="H126" s="49"/>
      <c r="I126" s="49"/>
      <c r="J126" s="49"/>
      <c r="K126" s="49"/>
    </row>
    <row r="128" spans="1:11" ht="39.75" customHeight="1">
      <c r="A128" s="57" t="s">
        <v>81</v>
      </c>
      <c r="B128" s="57"/>
      <c r="C128" s="57"/>
      <c r="D128" s="57"/>
    </row>
    <row r="129" spans="1:20" ht="34.5" customHeight="1">
      <c r="A129" s="58" t="s">
        <v>13</v>
      </c>
      <c r="B129" s="58"/>
      <c r="C129" s="59" t="s">
        <v>39</v>
      </c>
      <c r="D129" s="59"/>
    </row>
    <row r="130" spans="1:20" ht="33" customHeight="1">
      <c r="A130" s="60" t="s">
        <v>14</v>
      </c>
      <c r="B130" s="60"/>
      <c r="C130" s="61" t="s">
        <v>36</v>
      </c>
      <c r="D130" s="61"/>
    </row>
    <row r="131" spans="1:20" ht="34.5" customHeight="1">
      <c r="A131" s="62" t="s">
        <v>15</v>
      </c>
      <c r="B131" s="63"/>
      <c r="C131" s="64" t="s">
        <v>57</v>
      </c>
      <c r="D131" s="64"/>
    </row>
    <row r="132" spans="1:20" ht="36" customHeight="1">
      <c r="A132" s="60" t="s">
        <v>16</v>
      </c>
      <c r="B132" s="65"/>
      <c r="C132" s="66">
        <v>1.3192999999999999</v>
      </c>
      <c r="D132" s="64"/>
    </row>
    <row r="133" spans="1:20" ht="34.5" customHeight="1">
      <c r="A133" s="67" t="s">
        <v>17</v>
      </c>
      <c r="B133" s="67"/>
      <c r="C133" s="68" t="s">
        <v>82</v>
      </c>
      <c r="D133" s="68"/>
    </row>
    <row r="135" spans="1:20" ht="15" customHeight="1">
      <c r="A135" s="88" t="s">
        <v>85</v>
      </c>
      <c r="B135" s="88"/>
      <c r="C135" s="88"/>
      <c r="D135" s="88"/>
      <c r="E135" s="88"/>
      <c r="F135" s="88"/>
      <c r="G135" s="88"/>
      <c r="H135" s="88"/>
      <c r="I135" s="88"/>
      <c r="J135" s="88"/>
      <c r="K135" s="88"/>
      <c r="L135" s="88"/>
      <c r="M135" s="88"/>
      <c r="N135" s="88"/>
      <c r="O135" s="88"/>
      <c r="P135" s="88"/>
      <c r="Q135" s="88"/>
      <c r="R135" s="88"/>
      <c r="S135" s="16"/>
      <c r="T135" s="16"/>
    </row>
    <row r="136" spans="1:20" ht="15" customHeight="1">
      <c r="A136" s="88"/>
      <c r="B136" s="88"/>
      <c r="C136" s="88"/>
      <c r="D136" s="88"/>
      <c r="E136" s="88"/>
      <c r="F136" s="88"/>
      <c r="G136" s="88"/>
      <c r="H136" s="88"/>
      <c r="I136" s="88"/>
      <c r="J136" s="88"/>
      <c r="K136" s="88"/>
      <c r="L136" s="88"/>
      <c r="M136" s="88"/>
      <c r="N136" s="88"/>
      <c r="O136" s="88"/>
      <c r="P136" s="88"/>
      <c r="Q136" s="88"/>
      <c r="R136" s="88"/>
      <c r="S136" s="16"/>
      <c r="T136" s="16"/>
    </row>
    <row r="137" spans="1:20" ht="15" customHeight="1">
      <c r="A137" s="88"/>
      <c r="B137" s="88"/>
      <c r="C137" s="88"/>
      <c r="D137" s="88"/>
      <c r="E137" s="88"/>
      <c r="F137" s="88"/>
      <c r="G137" s="88"/>
      <c r="H137" s="88"/>
      <c r="I137" s="88"/>
      <c r="J137" s="88"/>
      <c r="K137" s="88"/>
      <c r="L137" s="88"/>
      <c r="M137" s="88"/>
      <c r="N137" s="88"/>
      <c r="O137" s="88"/>
      <c r="P137" s="88"/>
      <c r="Q137" s="88"/>
      <c r="R137" s="88"/>
      <c r="S137" s="16"/>
      <c r="T137" s="16"/>
    </row>
    <row r="138" spans="1:20" ht="15" customHeight="1">
      <c r="A138" s="81" t="s">
        <v>84</v>
      </c>
      <c r="B138" s="82"/>
      <c r="C138" s="82"/>
      <c r="D138" s="82"/>
      <c r="E138" s="82"/>
      <c r="F138" s="82"/>
      <c r="G138" s="82"/>
      <c r="H138" s="82"/>
      <c r="I138" s="82"/>
      <c r="J138" s="82"/>
      <c r="K138" s="82"/>
      <c r="L138" s="82"/>
      <c r="M138" s="82"/>
      <c r="N138" s="82"/>
      <c r="O138" s="82"/>
      <c r="P138" s="82"/>
      <c r="Q138" s="82"/>
      <c r="R138" s="83"/>
      <c r="S138" s="16"/>
      <c r="T138" s="16"/>
    </row>
    <row r="139" spans="1:20" ht="15" customHeight="1">
      <c r="A139" s="84"/>
      <c r="B139" s="82"/>
      <c r="C139" s="82"/>
      <c r="D139" s="82"/>
      <c r="E139" s="82"/>
      <c r="F139" s="82"/>
      <c r="G139" s="82"/>
      <c r="H139" s="82"/>
      <c r="I139" s="82"/>
      <c r="J139" s="82"/>
      <c r="K139" s="82"/>
      <c r="L139" s="82"/>
      <c r="M139" s="82"/>
      <c r="N139" s="82"/>
      <c r="O139" s="82"/>
      <c r="P139" s="82"/>
      <c r="Q139" s="82"/>
      <c r="R139" s="83"/>
      <c r="S139" s="16"/>
      <c r="T139" s="16"/>
    </row>
    <row r="140" spans="1:20" ht="15" customHeight="1">
      <c r="A140" s="84"/>
      <c r="B140" s="82"/>
      <c r="C140" s="82"/>
      <c r="D140" s="82"/>
      <c r="E140" s="82"/>
      <c r="F140" s="82"/>
      <c r="G140" s="82"/>
      <c r="H140" s="82"/>
      <c r="I140" s="82"/>
      <c r="J140" s="82"/>
      <c r="K140" s="82"/>
      <c r="L140" s="82"/>
      <c r="M140" s="82"/>
      <c r="N140" s="82"/>
      <c r="O140" s="82"/>
      <c r="P140" s="82"/>
      <c r="Q140" s="82"/>
      <c r="R140" s="83"/>
      <c r="S140" s="16"/>
      <c r="T140" s="16"/>
    </row>
    <row r="141" spans="1:20" ht="15" customHeight="1">
      <c r="A141" s="84"/>
      <c r="B141" s="82"/>
      <c r="C141" s="82"/>
      <c r="D141" s="82"/>
      <c r="E141" s="82"/>
      <c r="F141" s="82"/>
      <c r="G141" s="82"/>
      <c r="H141" s="82"/>
      <c r="I141" s="82"/>
      <c r="J141" s="82"/>
      <c r="K141" s="82"/>
      <c r="L141" s="82"/>
      <c r="M141" s="82"/>
      <c r="N141" s="82"/>
      <c r="O141" s="82"/>
      <c r="P141" s="82"/>
      <c r="Q141" s="82"/>
      <c r="R141" s="83"/>
      <c r="S141" s="16"/>
      <c r="T141" s="16"/>
    </row>
    <row r="142" spans="1:20" ht="15" customHeight="1">
      <c r="A142" s="84"/>
      <c r="B142" s="82"/>
      <c r="C142" s="82"/>
      <c r="D142" s="82"/>
      <c r="E142" s="82"/>
      <c r="F142" s="82"/>
      <c r="G142" s="82"/>
      <c r="H142" s="82"/>
      <c r="I142" s="82"/>
      <c r="J142" s="82"/>
      <c r="K142" s="82"/>
      <c r="L142" s="82"/>
      <c r="M142" s="82"/>
      <c r="N142" s="82"/>
      <c r="O142" s="82"/>
      <c r="P142" s="82"/>
      <c r="Q142" s="82"/>
      <c r="R142" s="83"/>
      <c r="S142" s="16"/>
      <c r="T142" s="16"/>
    </row>
    <row r="143" spans="1:20" ht="15" customHeight="1">
      <c r="A143" s="84"/>
      <c r="B143" s="82"/>
      <c r="C143" s="82"/>
      <c r="D143" s="82"/>
      <c r="E143" s="82"/>
      <c r="F143" s="82"/>
      <c r="G143" s="82"/>
      <c r="H143" s="82"/>
      <c r="I143" s="82"/>
      <c r="J143" s="82"/>
      <c r="K143" s="82"/>
      <c r="L143" s="82"/>
      <c r="M143" s="82"/>
      <c r="N143" s="82"/>
      <c r="O143" s="82"/>
      <c r="P143" s="82"/>
      <c r="Q143" s="82"/>
      <c r="R143" s="83"/>
      <c r="S143" s="16"/>
      <c r="T143" s="16"/>
    </row>
    <row r="144" spans="1:20" ht="15" customHeight="1">
      <c r="A144" s="84"/>
      <c r="B144" s="82"/>
      <c r="C144" s="82"/>
      <c r="D144" s="82"/>
      <c r="E144" s="82"/>
      <c r="F144" s="82"/>
      <c r="G144" s="82"/>
      <c r="H144" s="82"/>
      <c r="I144" s="82"/>
      <c r="J144" s="82"/>
      <c r="K144" s="82"/>
      <c r="L144" s="82"/>
      <c r="M144" s="82"/>
      <c r="N144" s="82"/>
      <c r="O144" s="82"/>
      <c r="P144" s="82"/>
      <c r="Q144" s="82"/>
      <c r="R144" s="83"/>
      <c r="S144" s="16"/>
      <c r="T144" s="16"/>
    </row>
    <row r="145" spans="1:20" ht="15" customHeight="1">
      <c r="A145" s="84"/>
      <c r="B145" s="82"/>
      <c r="C145" s="82"/>
      <c r="D145" s="82"/>
      <c r="E145" s="82"/>
      <c r="F145" s="82"/>
      <c r="G145" s="82"/>
      <c r="H145" s="82"/>
      <c r="I145" s="82"/>
      <c r="J145" s="82"/>
      <c r="K145" s="82"/>
      <c r="L145" s="82"/>
      <c r="M145" s="82"/>
      <c r="N145" s="82"/>
      <c r="O145" s="82"/>
      <c r="P145" s="82"/>
      <c r="Q145" s="82"/>
      <c r="R145" s="83"/>
      <c r="S145" s="16"/>
      <c r="T145" s="16"/>
    </row>
    <row r="146" spans="1:20" ht="15" customHeight="1">
      <c r="A146" s="84"/>
      <c r="B146" s="82"/>
      <c r="C146" s="82"/>
      <c r="D146" s="82"/>
      <c r="E146" s="82"/>
      <c r="F146" s="82"/>
      <c r="G146" s="82"/>
      <c r="H146" s="82"/>
      <c r="I146" s="82"/>
      <c r="J146" s="82"/>
      <c r="K146" s="82"/>
      <c r="L146" s="82"/>
      <c r="M146" s="82"/>
      <c r="N146" s="82"/>
      <c r="O146" s="82"/>
      <c r="P146" s="82"/>
      <c r="Q146" s="82"/>
      <c r="R146" s="83"/>
      <c r="S146" s="16"/>
      <c r="T146" s="16"/>
    </row>
    <row r="147" spans="1:20" ht="15" customHeight="1">
      <c r="A147" s="84"/>
      <c r="B147" s="82"/>
      <c r="C147" s="82"/>
      <c r="D147" s="82"/>
      <c r="E147" s="82"/>
      <c r="F147" s="82"/>
      <c r="G147" s="82"/>
      <c r="H147" s="82"/>
      <c r="I147" s="82"/>
      <c r="J147" s="82"/>
      <c r="K147" s="82"/>
      <c r="L147" s="82"/>
      <c r="M147" s="82"/>
      <c r="N147" s="82"/>
      <c r="O147" s="82"/>
      <c r="P147" s="82"/>
      <c r="Q147" s="82"/>
      <c r="R147" s="83"/>
      <c r="S147" s="16"/>
      <c r="T147" s="16"/>
    </row>
    <row r="148" spans="1:20" ht="15" customHeight="1">
      <c r="A148" s="84"/>
      <c r="B148" s="82"/>
      <c r="C148" s="82"/>
      <c r="D148" s="82"/>
      <c r="E148" s="82"/>
      <c r="F148" s="82"/>
      <c r="G148" s="82"/>
      <c r="H148" s="82"/>
      <c r="I148" s="82"/>
      <c r="J148" s="82"/>
      <c r="K148" s="82"/>
      <c r="L148" s="82"/>
      <c r="M148" s="82"/>
      <c r="N148" s="82"/>
      <c r="O148" s="82"/>
      <c r="P148" s="82"/>
      <c r="Q148" s="82"/>
      <c r="R148" s="83"/>
      <c r="S148" s="16"/>
      <c r="T148" s="16"/>
    </row>
    <row r="149" spans="1:20" ht="15" customHeight="1">
      <c r="A149" s="84"/>
      <c r="B149" s="82"/>
      <c r="C149" s="82"/>
      <c r="D149" s="82"/>
      <c r="E149" s="82"/>
      <c r="F149" s="82"/>
      <c r="G149" s="82"/>
      <c r="H149" s="82"/>
      <c r="I149" s="82"/>
      <c r="J149" s="82"/>
      <c r="K149" s="82"/>
      <c r="L149" s="82"/>
      <c r="M149" s="82"/>
      <c r="N149" s="82"/>
      <c r="O149" s="82"/>
      <c r="P149" s="82"/>
      <c r="Q149" s="82"/>
      <c r="R149" s="83"/>
      <c r="S149" s="16"/>
      <c r="T149" s="16"/>
    </row>
    <row r="150" spans="1:20" ht="15" customHeight="1">
      <c r="A150" s="84"/>
      <c r="B150" s="82"/>
      <c r="C150" s="82"/>
      <c r="D150" s="82"/>
      <c r="E150" s="82"/>
      <c r="F150" s="82"/>
      <c r="G150" s="82"/>
      <c r="H150" s="82"/>
      <c r="I150" s="82"/>
      <c r="J150" s="82"/>
      <c r="K150" s="82"/>
      <c r="L150" s="82"/>
      <c r="M150" s="82"/>
      <c r="N150" s="82"/>
      <c r="O150" s="82"/>
      <c r="P150" s="82"/>
      <c r="Q150" s="82"/>
      <c r="R150" s="83"/>
      <c r="S150" s="16"/>
      <c r="T150" s="16"/>
    </row>
    <row r="151" spans="1:20" ht="15" customHeight="1">
      <c r="A151" s="84"/>
      <c r="B151" s="82"/>
      <c r="C151" s="82"/>
      <c r="D151" s="82"/>
      <c r="E151" s="82"/>
      <c r="F151" s="82"/>
      <c r="G151" s="82"/>
      <c r="H151" s="82"/>
      <c r="I151" s="82"/>
      <c r="J151" s="82"/>
      <c r="K151" s="82"/>
      <c r="L151" s="82"/>
      <c r="M151" s="82"/>
      <c r="N151" s="82"/>
      <c r="O151" s="82"/>
      <c r="P151" s="82"/>
      <c r="Q151" s="82"/>
      <c r="R151" s="83"/>
      <c r="S151" s="16"/>
      <c r="T151" s="16"/>
    </row>
    <row r="152" spans="1:20" ht="15" customHeight="1">
      <c r="A152" s="84"/>
      <c r="B152" s="82"/>
      <c r="C152" s="82"/>
      <c r="D152" s="82"/>
      <c r="E152" s="82"/>
      <c r="F152" s="82"/>
      <c r="G152" s="82"/>
      <c r="H152" s="82"/>
      <c r="I152" s="82"/>
      <c r="J152" s="82"/>
      <c r="K152" s="82"/>
      <c r="L152" s="82"/>
      <c r="M152" s="82"/>
      <c r="N152" s="82"/>
      <c r="O152" s="82"/>
      <c r="P152" s="82"/>
      <c r="Q152" s="82"/>
      <c r="R152" s="83"/>
      <c r="S152" s="16"/>
      <c r="T152" s="16"/>
    </row>
    <row r="153" spans="1:20" ht="15" customHeight="1">
      <c r="A153" s="84"/>
      <c r="B153" s="82"/>
      <c r="C153" s="82"/>
      <c r="D153" s="82"/>
      <c r="E153" s="82"/>
      <c r="F153" s="82"/>
      <c r="G153" s="82"/>
      <c r="H153" s="82"/>
      <c r="I153" s="82"/>
      <c r="J153" s="82"/>
      <c r="K153" s="82"/>
      <c r="L153" s="82"/>
      <c r="M153" s="82"/>
      <c r="N153" s="82"/>
      <c r="O153" s="82"/>
      <c r="P153" s="82"/>
      <c r="Q153" s="82"/>
      <c r="R153" s="83"/>
      <c r="S153" s="16"/>
      <c r="T153" s="16"/>
    </row>
    <row r="154" spans="1:20" ht="15" customHeight="1">
      <c r="A154" s="84"/>
      <c r="B154" s="82"/>
      <c r="C154" s="82"/>
      <c r="D154" s="82"/>
      <c r="E154" s="82"/>
      <c r="F154" s="82"/>
      <c r="G154" s="82"/>
      <c r="H154" s="82"/>
      <c r="I154" s="82"/>
      <c r="J154" s="82"/>
      <c r="K154" s="82"/>
      <c r="L154" s="82"/>
      <c r="M154" s="82"/>
      <c r="N154" s="82"/>
      <c r="O154" s="82"/>
      <c r="P154" s="82"/>
      <c r="Q154" s="82"/>
      <c r="R154" s="83"/>
      <c r="S154" s="16"/>
      <c r="T154" s="16"/>
    </row>
    <row r="155" spans="1:20" ht="15" customHeight="1">
      <c r="A155" s="84"/>
      <c r="B155" s="82"/>
      <c r="C155" s="82"/>
      <c r="D155" s="82"/>
      <c r="E155" s="82"/>
      <c r="F155" s="82"/>
      <c r="G155" s="82"/>
      <c r="H155" s="82"/>
      <c r="I155" s="82"/>
      <c r="J155" s="82"/>
      <c r="K155" s="82"/>
      <c r="L155" s="82"/>
      <c r="M155" s="82"/>
      <c r="N155" s="82"/>
      <c r="O155" s="82"/>
      <c r="P155" s="82"/>
      <c r="Q155" s="82"/>
      <c r="R155" s="83"/>
      <c r="S155" s="16"/>
      <c r="T155" s="16"/>
    </row>
    <row r="156" spans="1:20" ht="15" customHeight="1">
      <c r="A156" s="84"/>
      <c r="B156" s="82"/>
      <c r="C156" s="82"/>
      <c r="D156" s="82"/>
      <c r="E156" s="82"/>
      <c r="F156" s="82"/>
      <c r="G156" s="82"/>
      <c r="H156" s="82"/>
      <c r="I156" s="82"/>
      <c r="J156" s="82"/>
      <c r="K156" s="82"/>
      <c r="L156" s="82"/>
      <c r="M156" s="82"/>
      <c r="N156" s="82"/>
      <c r="O156" s="82"/>
      <c r="P156" s="82"/>
      <c r="Q156" s="82"/>
      <c r="R156" s="83"/>
      <c r="S156" s="16"/>
      <c r="T156" s="16"/>
    </row>
    <row r="157" spans="1:20" ht="15" customHeight="1">
      <c r="A157" s="84"/>
      <c r="B157" s="82"/>
      <c r="C157" s="82"/>
      <c r="D157" s="82"/>
      <c r="E157" s="82"/>
      <c r="F157" s="82"/>
      <c r="G157" s="82"/>
      <c r="H157" s="82"/>
      <c r="I157" s="82"/>
      <c r="J157" s="82"/>
      <c r="K157" s="82"/>
      <c r="L157" s="82"/>
      <c r="M157" s="82"/>
      <c r="N157" s="82"/>
      <c r="O157" s="82"/>
      <c r="P157" s="82"/>
      <c r="Q157" s="82"/>
      <c r="R157" s="83"/>
      <c r="S157" s="16"/>
      <c r="T157" s="16"/>
    </row>
    <row r="158" spans="1:20" ht="15" customHeight="1">
      <c r="A158" s="84"/>
      <c r="B158" s="82"/>
      <c r="C158" s="82"/>
      <c r="D158" s="82"/>
      <c r="E158" s="82"/>
      <c r="F158" s="82"/>
      <c r="G158" s="82"/>
      <c r="H158" s="82"/>
      <c r="I158" s="82"/>
      <c r="J158" s="82"/>
      <c r="K158" s="82"/>
      <c r="L158" s="82"/>
      <c r="M158" s="82"/>
      <c r="N158" s="82"/>
      <c r="O158" s="82"/>
      <c r="P158" s="82"/>
      <c r="Q158" s="82"/>
      <c r="R158" s="83"/>
      <c r="S158" s="16"/>
      <c r="T158" s="16"/>
    </row>
    <row r="159" spans="1:20" ht="15" customHeight="1">
      <c r="A159" s="84"/>
      <c r="B159" s="82"/>
      <c r="C159" s="82"/>
      <c r="D159" s="82"/>
      <c r="E159" s="82"/>
      <c r="F159" s="82"/>
      <c r="G159" s="82"/>
      <c r="H159" s="82"/>
      <c r="I159" s="82"/>
      <c r="J159" s="82"/>
      <c r="K159" s="82"/>
      <c r="L159" s="82"/>
      <c r="M159" s="82"/>
      <c r="N159" s="82"/>
      <c r="O159" s="82"/>
      <c r="P159" s="82"/>
      <c r="Q159" s="82"/>
      <c r="R159" s="83"/>
      <c r="S159" s="16"/>
      <c r="T159" s="16"/>
    </row>
    <row r="160" spans="1:20" ht="15" customHeight="1">
      <c r="A160" s="84"/>
      <c r="B160" s="82"/>
      <c r="C160" s="82"/>
      <c r="D160" s="82"/>
      <c r="E160" s="82"/>
      <c r="F160" s="82"/>
      <c r="G160" s="82"/>
      <c r="H160" s="82"/>
      <c r="I160" s="82"/>
      <c r="J160" s="82"/>
      <c r="K160" s="82"/>
      <c r="L160" s="82"/>
      <c r="M160" s="82"/>
      <c r="N160" s="82"/>
      <c r="O160" s="82"/>
      <c r="P160" s="82"/>
      <c r="Q160" s="82"/>
      <c r="R160" s="83"/>
      <c r="S160" s="16"/>
      <c r="T160" s="16"/>
    </row>
    <row r="161" spans="1:20" ht="15" customHeight="1">
      <c r="A161" s="84"/>
      <c r="B161" s="82"/>
      <c r="C161" s="82"/>
      <c r="D161" s="82"/>
      <c r="E161" s="82"/>
      <c r="F161" s="82"/>
      <c r="G161" s="82"/>
      <c r="H161" s="82"/>
      <c r="I161" s="82"/>
      <c r="J161" s="82"/>
      <c r="K161" s="82"/>
      <c r="L161" s="82"/>
      <c r="M161" s="82"/>
      <c r="N161" s="82"/>
      <c r="O161" s="82"/>
      <c r="P161" s="82"/>
      <c r="Q161" s="82"/>
      <c r="R161" s="83"/>
      <c r="S161" s="16"/>
      <c r="T161" s="16"/>
    </row>
    <row r="162" spans="1:20" ht="15" customHeight="1">
      <c r="A162" s="84"/>
      <c r="B162" s="82"/>
      <c r="C162" s="82"/>
      <c r="D162" s="82"/>
      <c r="E162" s="82"/>
      <c r="F162" s="82"/>
      <c r="G162" s="82"/>
      <c r="H162" s="82"/>
      <c r="I162" s="82"/>
      <c r="J162" s="82"/>
      <c r="K162" s="82"/>
      <c r="L162" s="82"/>
      <c r="M162" s="82"/>
      <c r="N162" s="82"/>
      <c r="O162" s="82"/>
      <c r="P162" s="82"/>
      <c r="Q162" s="82"/>
      <c r="R162" s="83"/>
      <c r="S162" s="16"/>
      <c r="T162" s="16"/>
    </row>
    <row r="163" spans="1:20" ht="15" customHeight="1">
      <c r="A163" s="84"/>
      <c r="B163" s="82"/>
      <c r="C163" s="82"/>
      <c r="D163" s="82"/>
      <c r="E163" s="82"/>
      <c r="F163" s="82"/>
      <c r="G163" s="82"/>
      <c r="H163" s="82"/>
      <c r="I163" s="82"/>
      <c r="J163" s="82"/>
      <c r="K163" s="82"/>
      <c r="L163" s="82"/>
      <c r="M163" s="82"/>
      <c r="N163" s="82"/>
      <c r="O163" s="82"/>
      <c r="P163" s="82"/>
      <c r="Q163" s="82"/>
      <c r="R163" s="83"/>
      <c r="S163" s="16"/>
      <c r="T163" s="16"/>
    </row>
    <row r="164" spans="1:20" ht="15" customHeight="1">
      <c r="A164" s="84"/>
      <c r="B164" s="82"/>
      <c r="C164" s="82"/>
      <c r="D164" s="82"/>
      <c r="E164" s="82"/>
      <c r="F164" s="82"/>
      <c r="G164" s="82"/>
      <c r="H164" s="82"/>
      <c r="I164" s="82"/>
      <c r="J164" s="82"/>
      <c r="K164" s="82"/>
      <c r="L164" s="82"/>
      <c r="M164" s="82"/>
      <c r="N164" s="82"/>
      <c r="O164" s="82"/>
      <c r="P164" s="82"/>
      <c r="Q164" s="82"/>
      <c r="R164" s="83"/>
    </row>
    <row r="165" spans="1:20" ht="15" customHeight="1">
      <c r="A165" s="84"/>
      <c r="B165" s="82"/>
      <c r="C165" s="82"/>
      <c r="D165" s="82"/>
      <c r="E165" s="82"/>
      <c r="F165" s="82"/>
      <c r="G165" s="82"/>
      <c r="H165" s="82"/>
      <c r="I165" s="82"/>
      <c r="J165" s="82"/>
      <c r="K165" s="82"/>
      <c r="L165" s="82"/>
      <c r="M165" s="82"/>
      <c r="N165" s="82"/>
      <c r="O165" s="82"/>
      <c r="P165" s="82"/>
      <c r="Q165" s="82"/>
      <c r="R165" s="83"/>
    </row>
    <row r="166" spans="1:20" ht="15" customHeight="1">
      <c r="A166" s="84"/>
      <c r="B166" s="82"/>
      <c r="C166" s="82"/>
      <c r="D166" s="82"/>
      <c r="E166" s="82"/>
      <c r="F166" s="82"/>
      <c r="G166" s="82"/>
      <c r="H166" s="82"/>
      <c r="I166" s="82"/>
      <c r="J166" s="82"/>
      <c r="K166" s="82"/>
      <c r="L166" s="82"/>
      <c r="M166" s="82"/>
      <c r="N166" s="82"/>
      <c r="O166" s="82"/>
      <c r="P166" s="82"/>
      <c r="Q166" s="82"/>
      <c r="R166" s="83"/>
    </row>
    <row r="167" spans="1:20" ht="15" customHeight="1">
      <c r="A167" s="84"/>
      <c r="B167" s="82"/>
      <c r="C167" s="82"/>
      <c r="D167" s="82"/>
      <c r="E167" s="82"/>
      <c r="F167" s="82"/>
      <c r="G167" s="82"/>
      <c r="H167" s="82"/>
      <c r="I167" s="82"/>
      <c r="J167" s="82"/>
      <c r="K167" s="82"/>
      <c r="L167" s="82"/>
      <c r="M167" s="82"/>
      <c r="N167" s="82"/>
      <c r="O167" s="82"/>
      <c r="P167" s="82"/>
      <c r="Q167" s="82"/>
      <c r="R167" s="83"/>
    </row>
    <row r="168" spans="1:20" ht="15" customHeight="1">
      <c r="A168" s="84"/>
      <c r="B168" s="82"/>
      <c r="C168" s="82"/>
      <c r="D168" s="82"/>
      <c r="E168" s="82"/>
      <c r="F168" s="82"/>
      <c r="G168" s="82"/>
      <c r="H168" s="82"/>
      <c r="I168" s="82"/>
      <c r="J168" s="82"/>
      <c r="K168" s="82"/>
      <c r="L168" s="82"/>
      <c r="M168" s="82"/>
      <c r="N168" s="82"/>
      <c r="O168" s="82"/>
      <c r="P168" s="82"/>
      <c r="Q168" s="82"/>
      <c r="R168" s="83"/>
    </row>
    <row r="169" spans="1:20" ht="15" customHeight="1">
      <c r="A169" s="84"/>
      <c r="B169" s="82"/>
      <c r="C169" s="82"/>
      <c r="D169" s="82"/>
      <c r="E169" s="82"/>
      <c r="F169" s="82"/>
      <c r="G169" s="82"/>
      <c r="H169" s="82"/>
      <c r="I169" s="82"/>
      <c r="J169" s="82"/>
      <c r="K169" s="82"/>
      <c r="L169" s="82"/>
      <c r="M169" s="82"/>
      <c r="N169" s="82"/>
      <c r="O169" s="82"/>
      <c r="P169" s="82"/>
      <c r="Q169" s="82"/>
      <c r="R169" s="83"/>
    </row>
    <row r="170" spans="1:20" ht="15" customHeight="1">
      <c r="A170" s="84"/>
      <c r="B170" s="82"/>
      <c r="C170" s="82"/>
      <c r="D170" s="82"/>
      <c r="E170" s="82"/>
      <c r="F170" s="82"/>
      <c r="G170" s="82"/>
      <c r="H170" s="82"/>
      <c r="I170" s="82"/>
      <c r="J170" s="82"/>
      <c r="K170" s="82"/>
      <c r="L170" s="82"/>
      <c r="M170" s="82"/>
      <c r="N170" s="82"/>
      <c r="O170" s="82"/>
      <c r="P170" s="82"/>
      <c r="Q170" s="82"/>
      <c r="R170" s="83"/>
    </row>
    <row r="171" spans="1:20" ht="15" customHeight="1">
      <c r="A171" s="84"/>
      <c r="B171" s="82"/>
      <c r="C171" s="82"/>
      <c r="D171" s="82"/>
      <c r="E171" s="82"/>
      <c r="F171" s="82"/>
      <c r="G171" s="82"/>
      <c r="H171" s="82"/>
      <c r="I171" s="82"/>
      <c r="J171" s="82"/>
      <c r="K171" s="82"/>
      <c r="L171" s="82"/>
      <c r="M171" s="82"/>
      <c r="N171" s="82"/>
      <c r="O171" s="82"/>
      <c r="P171" s="82"/>
      <c r="Q171" s="82"/>
      <c r="R171" s="83"/>
    </row>
    <row r="172" spans="1:20" ht="15" customHeight="1">
      <c r="A172" s="84"/>
      <c r="B172" s="82"/>
      <c r="C172" s="82"/>
      <c r="D172" s="82"/>
      <c r="E172" s="82"/>
      <c r="F172" s="82"/>
      <c r="G172" s="82"/>
      <c r="H172" s="82"/>
      <c r="I172" s="82"/>
      <c r="J172" s="82"/>
      <c r="K172" s="82"/>
      <c r="L172" s="82"/>
      <c r="M172" s="82"/>
      <c r="N172" s="82"/>
      <c r="O172" s="82"/>
      <c r="P172" s="82"/>
      <c r="Q172" s="82"/>
      <c r="R172" s="83"/>
    </row>
    <row r="173" spans="1:20" ht="15" customHeight="1">
      <c r="A173" s="84"/>
      <c r="B173" s="82"/>
      <c r="C173" s="82"/>
      <c r="D173" s="82"/>
      <c r="E173" s="82"/>
      <c r="F173" s="82"/>
      <c r="G173" s="82"/>
      <c r="H173" s="82"/>
      <c r="I173" s="82"/>
      <c r="J173" s="82"/>
      <c r="K173" s="82"/>
      <c r="L173" s="82"/>
      <c r="M173" s="82"/>
      <c r="N173" s="82"/>
      <c r="O173" s="82"/>
      <c r="P173" s="82"/>
      <c r="Q173" s="82"/>
      <c r="R173" s="83"/>
    </row>
    <row r="174" spans="1:20" ht="15" customHeight="1">
      <c r="A174" s="84"/>
      <c r="B174" s="82"/>
      <c r="C174" s="82"/>
      <c r="D174" s="82"/>
      <c r="E174" s="82"/>
      <c r="F174" s="82"/>
      <c r="G174" s="82"/>
      <c r="H174" s="82"/>
      <c r="I174" s="82"/>
      <c r="J174" s="82"/>
      <c r="K174" s="82"/>
      <c r="L174" s="82"/>
      <c r="M174" s="82"/>
      <c r="N174" s="82"/>
      <c r="O174" s="82"/>
      <c r="P174" s="82"/>
      <c r="Q174" s="82"/>
      <c r="R174" s="83"/>
    </row>
    <row r="175" spans="1:20" ht="15" customHeight="1">
      <c r="A175" s="85"/>
      <c r="B175" s="86"/>
      <c r="C175" s="86"/>
      <c r="D175" s="86"/>
      <c r="E175" s="86"/>
      <c r="F175" s="86"/>
      <c r="G175" s="86"/>
      <c r="H175" s="86"/>
      <c r="I175" s="86"/>
      <c r="J175" s="86"/>
      <c r="K175" s="86"/>
      <c r="L175" s="86"/>
      <c r="M175" s="86"/>
      <c r="N175" s="86"/>
      <c r="O175" s="86"/>
      <c r="P175" s="86"/>
      <c r="Q175" s="86"/>
      <c r="R175" s="87"/>
    </row>
    <row r="177" spans="1:18" ht="43.5" customHeight="1">
      <c r="A177" s="89" t="s">
        <v>83</v>
      </c>
      <c r="B177" s="71"/>
      <c r="C177" s="71"/>
      <c r="D177" s="71"/>
      <c r="E177" s="71"/>
      <c r="F177" s="71"/>
      <c r="G177" s="71"/>
      <c r="H177" s="71"/>
      <c r="I177" s="71"/>
      <c r="J177" s="71"/>
      <c r="K177" s="71"/>
      <c r="L177" s="71"/>
      <c r="M177" s="71"/>
      <c r="N177" s="71"/>
      <c r="O177" s="71"/>
      <c r="P177" s="71"/>
      <c r="Q177" s="71"/>
      <c r="R177" s="71"/>
    </row>
    <row r="178" spans="1:18" ht="49.5" customHeight="1">
      <c r="A178" s="93" t="s">
        <v>88</v>
      </c>
      <c r="B178" s="70"/>
      <c r="C178" s="70"/>
      <c r="D178" s="70"/>
      <c r="E178" s="70"/>
      <c r="F178" s="70"/>
      <c r="G178" s="70"/>
      <c r="H178" s="70"/>
      <c r="I178" s="70"/>
      <c r="J178" s="70"/>
      <c r="K178" s="70"/>
      <c r="L178" s="70"/>
      <c r="M178" s="70"/>
      <c r="N178" s="70"/>
      <c r="O178" s="70"/>
      <c r="P178" s="70"/>
      <c r="Q178" s="70"/>
      <c r="R178" s="70"/>
    </row>
    <row r="179" spans="1:18" ht="72" customHeight="1">
      <c r="A179" s="70"/>
      <c r="B179" s="70"/>
      <c r="C179" s="70"/>
      <c r="D179" s="70"/>
      <c r="E179" s="70"/>
      <c r="F179" s="70"/>
      <c r="G179" s="70"/>
      <c r="H179" s="70"/>
      <c r="I179" s="70"/>
      <c r="J179" s="70"/>
      <c r="K179" s="70"/>
      <c r="L179" s="70"/>
      <c r="M179" s="70"/>
      <c r="N179" s="70"/>
      <c r="O179" s="70"/>
      <c r="P179" s="70"/>
      <c r="Q179" s="70"/>
      <c r="R179" s="70"/>
    </row>
    <row r="180" spans="1:18" ht="15" customHeight="1">
      <c r="A180" s="70"/>
      <c r="B180" s="70"/>
      <c r="C180" s="70"/>
      <c r="D180" s="70"/>
      <c r="E180" s="70"/>
      <c r="F180" s="70"/>
      <c r="G180" s="70"/>
      <c r="H180" s="70"/>
      <c r="I180" s="70"/>
      <c r="J180" s="70"/>
      <c r="K180" s="70"/>
      <c r="L180" s="70"/>
      <c r="M180" s="70"/>
      <c r="N180" s="70"/>
      <c r="O180" s="70"/>
      <c r="P180" s="70"/>
      <c r="Q180" s="70"/>
      <c r="R180" s="70"/>
    </row>
    <row r="181" spans="1:18" ht="15" customHeight="1">
      <c r="A181" s="70"/>
      <c r="B181" s="70"/>
      <c r="C181" s="70"/>
      <c r="D181" s="70"/>
      <c r="E181" s="70"/>
      <c r="F181" s="70"/>
      <c r="G181" s="70"/>
      <c r="H181" s="70"/>
      <c r="I181" s="70"/>
      <c r="J181" s="70"/>
      <c r="K181" s="70"/>
      <c r="L181" s="70"/>
      <c r="M181" s="70"/>
      <c r="N181" s="70"/>
      <c r="O181" s="70"/>
      <c r="P181" s="70"/>
      <c r="Q181" s="70"/>
      <c r="R181" s="70"/>
    </row>
    <row r="182" spans="1:18" ht="15" customHeight="1">
      <c r="A182" s="70"/>
      <c r="B182" s="70"/>
      <c r="C182" s="70"/>
      <c r="D182" s="70"/>
      <c r="E182" s="70"/>
      <c r="F182" s="70"/>
      <c r="G182" s="70"/>
      <c r="H182" s="70"/>
      <c r="I182" s="70"/>
      <c r="J182" s="70"/>
      <c r="K182" s="70"/>
      <c r="L182" s="70"/>
      <c r="M182" s="70"/>
      <c r="N182" s="70"/>
      <c r="O182" s="70"/>
      <c r="P182" s="70"/>
      <c r="Q182" s="70"/>
      <c r="R182" s="70"/>
    </row>
    <row r="183" spans="1:18" ht="15" customHeight="1">
      <c r="A183" s="70"/>
      <c r="B183" s="70"/>
      <c r="C183" s="70"/>
      <c r="D183" s="70"/>
      <c r="E183" s="70"/>
      <c r="F183" s="70"/>
      <c r="G183" s="70"/>
      <c r="H183" s="70"/>
      <c r="I183" s="70"/>
      <c r="J183" s="70"/>
      <c r="K183" s="70"/>
      <c r="L183" s="70"/>
      <c r="M183" s="70"/>
      <c r="N183" s="70"/>
      <c r="O183" s="70"/>
      <c r="P183" s="70"/>
      <c r="Q183" s="70"/>
      <c r="R183" s="70"/>
    </row>
    <row r="184" spans="1:18" ht="15" customHeight="1">
      <c r="A184" s="70"/>
      <c r="B184" s="70"/>
      <c r="C184" s="70"/>
      <c r="D184" s="70"/>
      <c r="E184" s="70"/>
      <c r="F184" s="70"/>
      <c r="G184" s="70"/>
      <c r="H184" s="70"/>
      <c r="I184" s="70"/>
      <c r="J184" s="70"/>
      <c r="K184" s="70"/>
      <c r="L184" s="70"/>
      <c r="M184" s="70"/>
      <c r="N184" s="70"/>
      <c r="O184" s="70"/>
      <c r="P184" s="70"/>
      <c r="Q184" s="70"/>
      <c r="R184" s="70"/>
    </row>
    <row r="185" spans="1:18" ht="15" customHeight="1">
      <c r="A185" s="70"/>
      <c r="B185" s="70"/>
      <c r="C185" s="70"/>
      <c r="D185" s="70"/>
      <c r="E185" s="70"/>
      <c r="F185" s="70"/>
      <c r="G185" s="70"/>
      <c r="H185" s="70"/>
      <c r="I185" s="70"/>
      <c r="J185" s="70"/>
      <c r="K185" s="70"/>
      <c r="L185" s="70"/>
      <c r="M185" s="70"/>
      <c r="N185" s="70"/>
      <c r="O185" s="70"/>
      <c r="P185" s="70"/>
      <c r="Q185" s="70"/>
      <c r="R185" s="70"/>
    </row>
    <row r="186" spans="1:18" ht="15" customHeight="1">
      <c r="A186" s="70"/>
      <c r="B186" s="70"/>
      <c r="C186" s="70"/>
      <c r="D186" s="70"/>
      <c r="E186" s="70"/>
      <c r="F186" s="70"/>
      <c r="G186" s="70"/>
      <c r="H186" s="70"/>
      <c r="I186" s="70"/>
      <c r="J186" s="70"/>
      <c r="K186" s="70"/>
      <c r="L186" s="70"/>
      <c r="M186" s="70"/>
      <c r="N186" s="70"/>
      <c r="O186" s="70"/>
      <c r="P186" s="70"/>
      <c r="Q186" s="70"/>
      <c r="R186" s="70"/>
    </row>
    <row r="187" spans="1:18" ht="15" customHeight="1">
      <c r="A187" s="70"/>
      <c r="B187" s="70"/>
      <c r="C187" s="70"/>
      <c r="D187" s="70"/>
      <c r="E187" s="70"/>
      <c r="F187" s="70"/>
      <c r="G187" s="70"/>
      <c r="H187" s="70"/>
      <c r="I187" s="70"/>
      <c r="J187" s="70"/>
      <c r="K187" s="70"/>
      <c r="L187" s="70"/>
      <c r="M187" s="70"/>
      <c r="N187" s="70"/>
      <c r="O187" s="70"/>
      <c r="P187" s="70"/>
      <c r="Q187" s="70"/>
      <c r="R187" s="70"/>
    </row>
    <row r="188" spans="1:18" ht="15" customHeight="1">
      <c r="A188" s="70"/>
      <c r="B188" s="70"/>
      <c r="C188" s="70"/>
      <c r="D188" s="70"/>
      <c r="E188" s="70"/>
      <c r="F188" s="70"/>
      <c r="G188" s="70"/>
      <c r="H188" s="70"/>
      <c r="I188" s="70"/>
      <c r="J188" s="70"/>
      <c r="K188" s="70"/>
      <c r="L188" s="70"/>
      <c r="M188" s="70"/>
      <c r="N188" s="70"/>
      <c r="O188" s="70"/>
      <c r="P188" s="70"/>
      <c r="Q188" s="70"/>
      <c r="R188" s="70"/>
    </row>
    <row r="189" spans="1:18" ht="15" customHeight="1">
      <c r="A189" s="70"/>
      <c r="B189" s="70"/>
      <c r="C189" s="70"/>
      <c r="D189" s="70"/>
      <c r="E189" s="70"/>
      <c r="F189" s="70"/>
      <c r="G189" s="70"/>
      <c r="H189" s="70"/>
      <c r="I189" s="70"/>
      <c r="J189" s="70"/>
      <c r="K189" s="70"/>
      <c r="L189" s="70"/>
      <c r="M189" s="70"/>
      <c r="N189" s="70"/>
      <c r="O189" s="70"/>
      <c r="P189" s="70"/>
      <c r="Q189" s="70"/>
      <c r="R189" s="70"/>
    </row>
    <row r="190" spans="1:18" ht="15" customHeight="1">
      <c r="A190" s="70"/>
      <c r="B190" s="70"/>
      <c r="C190" s="70"/>
      <c r="D190" s="70"/>
      <c r="E190" s="70"/>
      <c r="F190" s="70"/>
      <c r="G190" s="70"/>
      <c r="H190" s="70"/>
      <c r="I190" s="70"/>
      <c r="J190" s="70"/>
      <c r="K190" s="70"/>
      <c r="L190" s="70"/>
      <c r="M190" s="70"/>
      <c r="N190" s="70"/>
      <c r="O190" s="70"/>
      <c r="P190" s="70"/>
      <c r="Q190" s="70"/>
      <c r="R190" s="70"/>
    </row>
    <row r="191" spans="1:18" ht="15" customHeight="1">
      <c r="A191" s="70"/>
      <c r="B191" s="70"/>
      <c r="C191" s="70"/>
      <c r="D191" s="70"/>
      <c r="E191" s="70"/>
      <c r="F191" s="70"/>
      <c r="G191" s="70"/>
      <c r="H191" s="70"/>
      <c r="I191" s="70"/>
      <c r="J191" s="70"/>
      <c r="K191" s="70"/>
      <c r="L191" s="70"/>
      <c r="M191" s="70"/>
      <c r="N191" s="70"/>
      <c r="O191" s="70"/>
      <c r="P191" s="70"/>
      <c r="Q191" s="70"/>
      <c r="R191" s="70"/>
    </row>
    <row r="192" spans="1:18" ht="15" customHeight="1">
      <c r="A192" s="70"/>
      <c r="B192" s="70"/>
      <c r="C192" s="70"/>
      <c r="D192" s="70"/>
      <c r="E192" s="70"/>
      <c r="F192" s="70"/>
      <c r="G192" s="70"/>
      <c r="H192" s="70"/>
      <c r="I192" s="70"/>
      <c r="J192" s="70"/>
      <c r="K192" s="70"/>
      <c r="L192" s="70"/>
      <c r="M192" s="70"/>
      <c r="N192" s="70"/>
      <c r="O192" s="70"/>
      <c r="P192" s="70"/>
      <c r="Q192" s="70"/>
      <c r="R192" s="70"/>
    </row>
    <row r="193" spans="1:18" ht="15" customHeight="1">
      <c r="A193" s="70"/>
      <c r="B193" s="70"/>
      <c r="C193" s="70"/>
      <c r="D193" s="70"/>
      <c r="E193" s="70"/>
      <c r="F193" s="70"/>
      <c r="G193" s="70"/>
      <c r="H193" s="70"/>
      <c r="I193" s="70"/>
      <c r="J193" s="70"/>
      <c r="K193" s="70"/>
      <c r="L193" s="70"/>
      <c r="M193" s="70"/>
      <c r="N193" s="70"/>
      <c r="O193" s="70"/>
      <c r="P193" s="70"/>
      <c r="Q193" s="70"/>
      <c r="R193" s="70"/>
    </row>
    <row r="194" spans="1:18" ht="15" customHeight="1">
      <c r="A194" s="70"/>
      <c r="B194" s="70"/>
      <c r="C194" s="70"/>
      <c r="D194" s="70"/>
      <c r="E194" s="70"/>
      <c r="F194" s="70"/>
      <c r="G194" s="70"/>
      <c r="H194" s="70"/>
      <c r="I194" s="70"/>
      <c r="J194" s="70"/>
      <c r="K194" s="70"/>
      <c r="L194" s="70"/>
      <c r="M194" s="70"/>
      <c r="N194" s="70"/>
      <c r="O194" s="70"/>
      <c r="P194" s="70"/>
      <c r="Q194" s="70"/>
      <c r="R194" s="70"/>
    </row>
    <row r="195" spans="1:18" ht="15" customHeight="1">
      <c r="A195" s="70"/>
      <c r="B195" s="70"/>
      <c r="C195" s="70"/>
      <c r="D195" s="70"/>
      <c r="E195" s="70"/>
      <c r="F195" s="70"/>
      <c r="G195" s="70"/>
      <c r="H195" s="70"/>
      <c r="I195" s="70"/>
      <c r="J195" s="70"/>
      <c r="K195" s="70"/>
      <c r="L195" s="70"/>
      <c r="M195" s="70"/>
      <c r="N195" s="70"/>
      <c r="O195" s="70"/>
      <c r="P195" s="70"/>
      <c r="Q195" s="70"/>
      <c r="R195" s="70"/>
    </row>
    <row r="196" spans="1:18">
      <c r="A196" s="70"/>
      <c r="B196" s="70"/>
      <c r="C196" s="70"/>
      <c r="D196" s="70"/>
      <c r="E196" s="70"/>
      <c r="F196" s="70"/>
      <c r="G196" s="70"/>
      <c r="H196" s="70"/>
      <c r="I196" s="70"/>
      <c r="J196" s="70"/>
      <c r="K196" s="70"/>
      <c r="L196" s="70"/>
      <c r="M196" s="70"/>
      <c r="N196" s="70"/>
      <c r="O196" s="70"/>
      <c r="P196" s="70"/>
      <c r="Q196" s="70"/>
      <c r="R196" s="70"/>
    </row>
    <row r="197" spans="1:18">
      <c r="A197" s="70"/>
      <c r="B197" s="70"/>
      <c r="C197" s="70"/>
      <c r="D197" s="70"/>
      <c r="E197" s="70"/>
      <c r="F197" s="70"/>
      <c r="G197" s="70"/>
      <c r="H197" s="70"/>
      <c r="I197" s="70"/>
      <c r="J197" s="70"/>
      <c r="K197" s="70"/>
      <c r="L197" s="70"/>
      <c r="M197" s="70"/>
      <c r="N197" s="70"/>
      <c r="O197" s="70"/>
      <c r="P197" s="70"/>
      <c r="Q197" s="70"/>
      <c r="R197" s="70"/>
    </row>
    <row r="198" spans="1:18">
      <c r="A198" s="70"/>
      <c r="B198" s="70"/>
      <c r="C198" s="70"/>
      <c r="D198" s="70"/>
      <c r="E198" s="70"/>
      <c r="F198" s="70"/>
      <c r="G198" s="70"/>
      <c r="H198" s="70"/>
      <c r="I198" s="70"/>
      <c r="J198" s="70"/>
      <c r="K198" s="70"/>
      <c r="L198" s="70"/>
      <c r="M198" s="70"/>
      <c r="N198" s="70"/>
      <c r="O198" s="70"/>
      <c r="P198" s="70"/>
      <c r="Q198" s="70"/>
      <c r="R198" s="70"/>
    </row>
    <row r="199" spans="1:18">
      <c r="A199" s="70"/>
      <c r="B199" s="70"/>
      <c r="C199" s="70"/>
      <c r="D199" s="70"/>
      <c r="E199" s="70"/>
      <c r="F199" s="70"/>
      <c r="G199" s="70"/>
      <c r="H199" s="70"/>
      <c r="I199" s="70"/>
      <c r="J199" s="70"/>
      <c r="K199" s="70"/>
      <c r="L199" s="70"/>
      <c r="M199" s="70"/>
      <c r="N199" s="70"/>
      <c r="O199" s="70"/>
      <c r="P199" s="70"/>
      <c r="Q199" s="70"/>
      <c r="R199" s="70"/>
    </row>
    <row r="200" spans="1:18">
      <c r="A200" s="70"/>
      <c r="B200" s="70"/>
      <c r="C200" s="70"/>
      <c r="D200" s="70"/>
      <c r="E200" s="70"/>
      <c r="F200" s="70"/>
      <c r="G200" s="70"/>
      <c r="H200" s="70"/>
      <c r="I200" s="70"/>
      <c r="J200" s="70"/>
      <c r="K200" s="70"/>
      <c r="L200" s="70"/>
      <c r="M200" s="70"/>
      <c r="N200" s="70"/>
      <c r="O200" s="70"/>
      <c r="P200" s="70"/>
      <c r="Q200" s="70"/>
      <c r="R200" s="70"/>
    </row>
    <row r="201" spans="1:18">
      <c r="A201" s="70"/>
      <c r="B201" s="70"/>
      <c r="C201" s="70"/>
      <c r="D201" s="70"/>
      <c r="E201" s="70"/>
      <c r="F201" s="70"/>
      <c r="G201" s="70"/>
      <c r="H201" s="70"/>
      <c r="I201" s="70"/>
      <c r="J201" s="70"/>
      <c r="K201" s="70"/>
      <c r="L201" s="70"/>
      <c r="M201" s="70"/>
      <c r="N201" s="70"/>
      <c r="O201" s="70"/>
      <c r="P201" s="70"/>
      <c r="Q201" s="70"/>
      <c r="R201" s="70"/>
    </row>
    <row r="202" spans="1:18">
      <c r="L202" s="69"/>
    </row>
    <row r="203" spans="1:18">
      <c r="A203" s="91" t="s">
        <v>86</v>
      </c>
      <c r="B203" s="90"/>
      <c r="C203" s="90"/>
      <c r="D203" s="90"/>
      <c r="E203" s="90"/>
      <c r="F203" s="90"/>
      <c r="G203" s="90"/>
      <c r="H203" s="90"/>
      <c r="I203" s="90"/>
      <c r="J203" s="90"/>
      <c r="K203" s="90"/>
      <c r="L203" s="90"/>
      <c r="M203" s="90"/>
      <c r="N203" s="90"/>
      <c r="O203" s="90"/>
      <c r="P203" s="90"/>
      <c r="Q203" s="90"/>
      <c r="R203" s="90"/>
    </row>
    <row r="204" spans="1:18" ht="24" customHeight="1">
      <c r="A204" s="90"/>
      <c r="B204" s="90"/>
      <c r="C204" s="90"/>
      <c r="D204" s="90"/>
      <c r="E204" s="90"/>
      <c r="F204" s="90"/>
      <c r="G204" s="90"/>
      <c r="H204" s="90"/>
      <c r="I204" s="90"/>
      <c r="J204" s="90"/>
      <c r="K204" s="90"/>
      <c r="L204" s="90"/>
      <c r="M204" s="90"/>
      <c r="N204" s="90"/>
      <c r="O204" s="90"/>
      <c r="P204" s="90"/>
      <c r="Q204" s="90"/>
      <c r="R204" s="90"/>
    </row>
    <row r="205" spans="1:18" ht="15" customHeight="1">
      <c r="A205" s="92" t="s">
        <v>87</v>
      </c>
      <c r="B205" s="92"/>
      <c r="C205" s="92"/>
      <c r="D205" s="92"/>
      <c r="E205" s="92"/>
      <c r="F205" s="92"/>
      <c r="G205" s="92"/>
      <c r="H205" s="92"/>
      <c r="I205" s="92"/>
      <c r="J205" s="92"/>
      <c r="K205" s="92"/>
      <c r="L205" s="92"/>
      <c r="M205" s="92"/>
      <c r="N205" s="92"/>
      <c r="O205" s="92"/>
      <c r="P205" s="92"/>
      <c r="Q205" s="92"/>
      <c r="R205" s="92"/>
    </row>
    <row r="206" spans="1:18" ht="15" customHeight="1">
      <c r="A206" s="94"/>
      <c r="B206" s="94"/>
      <c r="C206" s="94"/>
      <c r="D206" s="94"/>
      <c r="E206" s="94"/>
      <c r="F206" s="94"/>
      <c r="G206" s="94"/>
      <c r="H206" s="94"/>
      <c r="I206" s="94"/>
      <c r="J206" s="94"/>
      <c r="K206" s="94"/>
      <c r="L206" s="94"/>
      <c r="M206" s="94"/>
      <c r="N206" s="94"/>
      <c r="O206" s="94"/>
      <c r="P206" s="94"/>
      <c r="Q206" s="94"/>
      <c r="R206" s="94"/>
    </row>
    <row r="207" spans="1:18" ht="15" customHeight="1">
      <c r="A207" s="94"/>
      <c r="B207" s="94"/>
      <c r="C207" s="94"/>
      <c r="D207" s="94"/>
      <c r="E207" s="94"/>
      <c r="F207" s="94"/>
      <c r="G207" s="94"/>
      <c r="H207" s="94"/>
      <c r="I207" s="94"/>
      <c r="J207" s="94"/>
      <c r="K207" s="94"/>
      <c r="L207" s="94"/>
      <c r="M207" s="94"/>
      <c r="N207" s="94"/>
      <c r="O207" s="94"/>
      <c r="P207" s="94"/>
      <c r="Q207" s="94"/>
      <c r="R207" s="94"/>
    </row>
    <row r="208" spans="1:18" ht="15" customHeight="1">
      <c r="A208" s="94"/>
      <c r="B208" s="94"/>
      <c r="C208" s="94"/>
      <c r="D208" s="94"/>
      <c r="E208" s="94"/>
      <c r="F208" s="94"/>
      <c r="G208" s="94"/>
      <c r="H208" s="94"/>
      <c r="I208" s="94"/>
      <c r="J208" s="94"/>
      <c r="K208" s="94"/>
      <c r="L208" s="94"/>
      <c r="M208" s="94"/>
      <c r="N208" s="94"/>
      <c r="O208" s="94"/>
      <c r="P208" s="94"/>
      <c r="Q208" s="94"/>
      <c r="R208" s="94"/>
    </row>
    <row r="209" spans="1:23" ht="15" customHeight="1">
      <c r="A209" s="94"/>
      <c r="B209" s="94"/>
      <c r="C209" s="94"/>
      <c r="D209" s="94"/>
      <c r="E209" s="94"/>
      <c r="F209" s="94"/>
      <c r="G209" s="94"/>
      <c r="H209" s="94"/>
      <c r="I209" s="94"/>
      <c r="J209" s="94"/>
      <c r="K209" s="94"/>
      <c r="L209" s="94"/>
      <c r="M209" s="94"/>
      <c r="N209" s="94"/>
      <c r="O209" s="94"/>
      <c r="P209" s="94"/>
      <c r="Q209" s="94"/>
      <c r="R209" s="94"/>
    </row>
    <row r="210" spans="1:23" ht="15" customHeight="1">
      <c r="A210" s="94"/>
      <c r="B210" s="94"/>
      <c r="C210" s="94"/>
      <c r="D210" s="94"/>
      <c r="E210" s="94"/>
      <c r="F210" s="94"/>
      <c r="G210" s="94"/>
      <c r="H210" s="94"/>
      <c r="I210" s="94"/>
      <c r="J210" s="94"/>
      <c r="K210" s="94"/>
      <c r="L210" s="94"/>
      <c r="M210" s="94"/>
      <c r="N210" s="94"/>
      <c r="O210" s="94"/>
      <c r="P210" s="94"/>
      <c r="Q210" s="94"/>
      <c r="R210" s="94"/>
    </row>
    <row r="211" spans="1:23" ht="15" customHeight="1">
      <c r="A211" s="94"/>
      <c r="B211" s="94"/>
      <c r="C211" s="94"/>
      <c r="D211" s="94"/>
      <c r="E211" s="94"/>
      <c r="F211" s="94"/>
      <c r="G211" s="94"/>
      <c r="H211" s="94"/>
      <c r="I211" s="94"/>
      <c r="J211" s="94"/>
      <c r="K211" s="94"/>
      <c r="L211" s="94"/>
      <c r="M211" s="94"/>
      <c r="N211" s="94"/>
      <c r="O211" s="94"/>
      <c r="P211" s="94"/>
      <c r="Q211" s="94"/>
      <c r="R211" s="94"/>
    </row>
    <row r="212" spans="1:23" ht="15" customHeight="1">
      <c r="A212" s="94"/>
      <c r="B212" s="94"/>
      <c r="C212" s="94"/>
      <c r="D212" s="94"/>
      <c r="E212" s="94"/>
      <c r="F212" s="94"/>
      <c r="G212" s="94"/>
      <c r="H212" s="94"/>
      <c r="I212" s="94"/>
      <c r="J212" s="94"/>
      <c r="K212" s="94"/>
      <c r="L212" s="94"/>
      <c r="M212" s="94"/>
      <c r="N212" s="94"/>
      <c r="O212" s="94"/>
      <c r="P212" s="94"/>
      <c r="Q212" s="94"/>
      <c r="R212" s="94"/>
    </row>
    <row r="213" spans="1:23" ht="15" customHeight="1">
      <c r="A213" s="94"/>
      <c r="B213" s="94"/>
      <c r="C213" s="94"/>
      <c r="D213" s="94"/>
      <c r="E213" s="94"/>
      <c r="F213" s="94"/>
      <c r="G213" s="94"/>
      <c r="H213" s="94"/>
      <c r="I213" s="94"/>
      <c r="J213" s="94"/>
      <c r="K213" s="94"/>
      <c r="L213" s="94"/>
      <c r="M213" s="94"/>
      <c r="N213" s="94"/>
      <c r="O213" s="94"/>
      <c r="P213" s="94"/>
      <c r="Q213" s="94"/>
      <c r="R213" s="94"/>
      <c r="W213" s="69"/>
    </row>
    <row r="214" spans="1:23" ht="15" customHeight="1">
      <c r="A214" s="94"/>
      <c r="B214" s="94"/>
      <c r="C214" s="94"/>
      <c r="D214" s="94"/>
      <c r="E214" s="94"/>
      <c r="F214" s="94"/>
      <c r="G214" s="94"/>
      <c r="H214" s="94"/>
      <c r="I214" s="94"/>
      <c r="J214" s="94"/>
      <c r="K214" s="94"/>
      <c r="L214" s="94"/>
      <c r="M214" s="94"/>
      <c r="N214" s="94"/>
      <c r="O214" s="94"/>
      <c r="P214" s="94"/>
      <c r="Q214" s="94"/>
      <c r="R214" s="94"/>
    </row>
    <row r="215" spans="1:23" ht="15" customHeight="1">
      <c r="A215" s="94"/>
      <c r="B215" s="94"/>
      <c r="C215" s="94"/>
      <c r="D215" s="94"/>
      <c r="E215" s="94"/>
      <c r="F215" s="94"/>
      <c r="G215" s="94"/>
      <c r="H215" s="94"/>
      <c r="I215" s="94"/>
      <c r="J215" s="94"/>
      <c r="K215" s="94"/>
      <c r="L215" s="94"/>
      <c r="M215" s="94"/>
      <c r="N215" s="94"/>
      <c r="O215" s="94"/>
      <c r="P215" s="94"/>
      <c r="Q215" s="94"/>
      <c r="R215" s="94"/>
    </row>
    <row r="216" spans="1:23" ht="15" customHeight="1">
      <c r="A216" s="94"/>
      <c r="B216" s="94"/>
      <c r="C216" s="94"/>
      <c r="D216" s="94"/>
      <c r="E216" s="94"/>
      <c r="F216" s="94"/>
      <c r="G216" s="94"/>
      <c r="H216" s="94"/>
      <c r="I216" s="94"/>
      <c r="J216" s="94"/>
      <c r="K216" s="94"/>
      <c r="L216" s="94"/>
      <c r="M216" s="94"/>
      <c r="N216" s="94"/>
      <c r="O216" s="94"/>
      <c r="P216" s="94"/>
      <c r="Q216" s="94"/>
      <c r="R216" s="94"/>
    </row>
    <row r="217" spans="1:23" ht="15" customHeight="1">
      <c r="A217" s="94"/>
      <c r="B217" s="94"/>
      <c r="C217" s="94"/>
      <c r="D217" s="94"/>
      <c r="E217" s="94"/>
      <c r="F217" s="94"/>
      <c r="G217" s="94"/>
      <c r="H217" s="94"/>
      <c r="I217" s="94"/>
      <c r="J217" s="94"/>
      <c r="K217" s="94"/>
      <c r="L217" s="94"/>
      <c r="M217" s="94"/>
      <c r="N217" s="94"/>
      <c r="O217" s="94"/>
      <c r="P217" s="94"/>
      <c r="Q217" s="94"/>
      <c r="R217" s="94"/>
    </row>
    <row r="218" spans="1:23" ht="15" customHeight="1">
      <c r="A218" s="94"/>
      <c r="B218" s="94"/>
      <c r="C218" s="94"/>
      <c r="D218" s="94"/>
      <c r="E218" s="94"/>
      <c r="F218" s="94"/>
      <c r="G218" s="94"/>
      <c r="H218" s="94"/>
      <c r="I218" s="94"/>
      <c r="J218" s="94"/>
      <c r="K218" s="94"/>
      <c r="L218" s="94"/>
      <c r="M218" s="94"/>
      <c r="N218" s="94"/>
      <c r="O218" s="94"/>
      <c r="P218" s="94"/>
      <c r="Q218" s="94"/>
      <c r="R218" s="94"/>
    </row>
    <row r="219" spans="1:23" ht="15" customHeight="1">
      <c r="A219" s="94"/>
      <c r="B219" s="94"/>
      <c r="C219" s="94"/>
      <c r="D219" s="94"/>
      <c r="E219" s="94"/>
      <c r="F219" s="94"/>
      <c r="G219" s="94"/>
      <c r="H219" s="94"/>
      <c r="I219" s="94"/>
      <c r="J219" s="94"/>
      <c r="K219" s="94"/>
      <c r="L219" s="94"/>
      <c r="M219" s="94"/>
      <c r="N219" s="94"/>
      <c r="O219" s="94"/>
      <c r="P219" s="94"/>
      <c r="Q219" s="94"/>
      <c r="R219" s="94"/>
    </row>
    <row r="220" spans="1:23" ht="15" customHeight="1">
      <c r="A220" s="94"/>
      <c r="B220" s="94"/>
      <c r="C220" s="94"/>
      <c r="D220" s="94"/>
      <c r="E220" s="94"/>
      <c r="F220" s="94"/>
      <c r="G220" s="94"/>
      <c r="H220" s="94"/>
      <c r="I220" s="94"/>
      <c r="J220" s="94"/>
      <c r="K220" s="94"/>
      <c r="L220" s="94"/>
      <c r="M220" s="94"/>
      <c r="N220" s="94"/>
      <c r="O220" s="94"/>
      <c r="P220" s="94"/>
      <c r="Q220" s="94"/>
      <c r="R220" s="94"/>
    </row>
    <row r="221" spans="1:23" ht="15" customHeight="1">
      <c r="A221" s="94"/>
      <c r="B221" s="94"/>
      <c r="C221" s="94"/>
      <c r="D221" s="94"/>
      <c r="E221" s="94"/>
      <c r="F221" s="94"/>
      <c r="G221" s="94"/>
      <c r="H221" s="94"/>
      <c r="I221" s="94"/>
      <c r="J221" s="94"/>
      <c r="K221" s="94"/>
      <c r="L221" s="94"/>
      <c r="M221" s="94"/>
      <c r="N221" s="94"/>
      <c r="O221" s="94"/>
      <c r="P221" s="94"/>
      <c r="Q221" s="94"/>
      <c r="R221" s="94"/>
    </row>
    <row r="222" spans="1:23" ht="15" customHeight="1">
      <c r="A222" s="94"/>
      <c r="B222" s="94"/>
      <c r="C222" s="94"/>
      <c r="D222" s="94"/>
      <c r="E222" s="94"/>
      <c r="F222" s="94"/>
      <c r="G222" s="94"/>
      <c r="H222" s="94"/>
      <c r="I222" s="94"/>
      <c r="J222" s="94"/>
      <c r="K222" s="94"/>
      <c r="L222" s="94"/>
      <c r="M222" s="94"/>
      <c r="N222" s="94"/>
      <c r="O222" s="94"/>
      <c r="P222" s="94"/>
      <c r="Q222" s="94"/>
      <c r="R222" s="94"/>
    </row>
    <row r="223" spans="1:23" ht="15" customHeight="1">
      <c r="A223" s="94"/>
      <c r="B223" s="94"/>
      <c r="C223" s="94"/>
      <c r="D223" s="94"/>
      <c r="E223" s="94"/>
      <c r="F223" s="94"/>
      <c r="G223" s="94"/>
      <c r="H223" s="94"/>
      <c r="I223" s="94"/>
      <c r="J223" s="94"/>
      <c r="K223" s="94"/>
      <c r="L223" s="94"/>
      <c r="M223" s="94"/>
      <c r="N223" s="94"/>
      <c r="O223" s="94"/>
      <c r="P223" s="94"/>
      <c r="Q223" s="94"/>
      <c r="R223" s="94"/>
    </row>
    <row r="224" spans="1:23" ht="15" customHeight="1">
      <c r="A224" s="94"/>
      <c r="B224" s="94"/>
      <c r="C224" s="94"/>
      <c r="D224" s="94"/>
      <c r="E224" s="94"/>
      <c r="F224" s="94"/>
      <c r="G224" s="94"/>
      <c r="H224" s="94"/>
      <c r="I224" s="94"/>
      <c r="J224" s="94"/>
      <c r="K224" s="94"/>
      <c r="L224" s="94"/>
      <c r="M224" s="94"/>
      <c r="N224" s="94"/>
      <c r="O224" s="94"/>
      <c r="P224" s="94"/>
      <c r="Q224" s="94"/>
      <c r="R224" s="94"/>
    </row>
    <row r="225" spans="1:18" ht="15" customHeight="1">
      <c r="A225" s="94"/>
      <c r="B225" s="94"/>
      <c r="C225" s="94"/>
      <c r="D225" s="94"/>
      <c r="E225" s="94"/>
      <c r="F225" s="94"/>
      <c r="G225" s="94"/>
      <c r="H225" s="94"/>
      <c r="I225" s="94"/>
      <c r="J225" s="94"/>
      <c r="K225" s="94"/>
      <c r="L225" s="94"/>
      <c r="M225" s="94"/>
      <c r="N225" s="94"/>
      <c r="O225" s="94"/>
      <c r="P225" s="94"/>
      <c r="Q225" s="94"/>
      <c r="R225" s="94"/>
    </row>
    <row r="226" spans="1:18" ht="15" customHeight="1">
      <c r="A226" s="94"/>
      <c r="B226" s="94"/>
      <c r="C226" s="94"/>
      <c r="D226" s="94"/>
      <c r="E226" s="94"/>
      <c r="F226" s="94"/>
      <c r="G226" s="94"/>
      <c r="H226" s="94"/>
      <c r="I226" s="94"/>
      <c r="J226" s="94"/>
      <c r="K226" s="94"/>
      <c r="L226" s="94"/>
      <c r="M226" s="94"/>
      <c r="N226" s="94"/>
      <c r="O226" s="94"/>
      <c r="P226" s="94"/>
      <c r="Q226" s="94"/>
      <c r="R226" s="94"/>
    </row>
    <row r="227" spans="1:18" ht="15" customHeight="1">
      <c r="A227" s="94"/>
      <c r="B227" s="94"/>
      <c r="C227" s="94"/>
      <c r="D227" s="94"/>
      <c r="E227" s="94"/>
      <c r="F227" s="94"/>
      <c r="G227" s="94"/>
      <c r="H227" s="94"/>
      <c r="I227" s="94"/>
      <c r="J227" s="94"/>
      <c r="K227" s="94"/>
      <c r="L227" s="94"/>
      <c r="M227" s="94"/>
      <c r="N227" s="94"/>
      <c r="O227" s="94"/>
      <c r="P227" s="94"/>
      <c r="Q227" s="94"/>
      <c r="R227" s="94"/>
    </row>
    <row r="228" spans="1:18" ht="15" customHeight="1">
      <c r="A228" s="94"/>
      <c r="B228" s="94"/>
      <c r="C228" s="94"/>
      <c r="D228" s="94"/>
      <c r="E228" s="94"/>
      <c r="F228" s="94"/>
      <c r="G228" s="94"/>
      <c r="H228" s="94"/>
      <c r="I228" s="94"/>
      <c r="J228" s="94"/>
      <c r="K228" s="94"/>
      <c r="L228" s="94"/>
      <c r="M228" s="94"/>
      <c r="N228" s="94"/>
      <c r="O228" s="94"/>
      <c r="P228" s="94"/>
      <c r="Q228" s="94"/>
      <c r="R228" s="94"/>
    </row>
    <row r="229" spans="1:18" ht="15" customHeight="1">
      <c r="A229" s="94"/>
      <c r="B229" s="94"/>
      <c r="C229" s="94"/>
      <c r="D229" s="94"/>
      <c r="E229" s="94"/>
      <c r="F229" s="94"/>
      <c r="G229" s="94"/>
      <c r="H229" s="94"/>
      <c r="I229" s="94"/>
      <c r="J229" s="94"/>
      <c r="K229" s="94"/>
      <c r="L229" s="94"/>
      <c r="M229" s="94"/>
      <c r="N229" s="94"/>
      <c r="O229" s="94"/>
      <c r="P229" s="94"/>
      <c r="Q229" s="94"/>
      <c r="R229" s="94"/>
    </row>
    <row r="230" spans="1:18" ht="15" customHeight="1">
      <c r="A230" s="94"/>
      <c r="B230" s="94"/>
      <c r="C230" s="94"/>
      <c r="D230" s="94"/>
      <c r="E230" s="94"/>
      <c r="F230" s="94"/>
      <c r="G230" s="94"/>
      <c r="H230" s="94"/>
      <c r="I230" s="94"/>
      <c r="J230" s="94"/>
      <c r="K230" s="94"/>
      <c r="L230" s="94"/>
      <c r="M230" s="94"/>
      <c r="N230" s="94"/>
      <c r="O230" s="94"/>
      <c r="P230" s="94"/>
      <c r="Q230" s="94"/>
      <c r="R230" s="94"/>
    </row>
    <row r="231" spans="1:18" ht="15" customHeight="1">
      <c r="A231" s="94"/>
      <c r="B231" s="94"/>
      <c r="C231" s="94"/>
      <c r="D231" s="94"/>
      <c r="E231" s="94"/>
      <c r="F231" s="94"/>
      <c r="G231" s="94"/>
      <c r="H231" s="94"/>
      <c r="I231" s="94"/>
      <c r="J231" s="94"/>
      <c r="K231" s="94"/>
      <c r="L231" s="94"/>
      <c r="M231" s="94"/>
      <c r="N231" s="94"/>
      <c r="O231" s="94"/>
      <c r="P231" s="94"/>
      <c r="Q231" s="94"/>
      <c r="R231" s="94"/>
    </row>
    <row r="232" spans="1:18" ht="15" customHeight="1">
      <c r="A232" s="94"/>
      <c r="B232" s="94"/>
      <c r="C232" s="94"/>
      <c r="D232" s="94"/>
      <c r="E232" s="94"/>
      <c r="F232" s="94"/>
      <c r="G232" s="94"/>
      <c r="H232" s="94"/>
      <c r="I232" s="94"/>
      <c r="J232" s="94"/>
      <c r="K232" s="94"/>
      <c r="L232" s="94"/>
      <c r="M232" s="94"/>
      <c r="N232" s="94"/>
      <c r="O232" s="94"/>
      <c r="P232" s="94"/>
      <c r="Q232" s="94"/>
      <c r="R232" s="94"/>
    </row>
    <row r="233" spans="1:18" ht="15" customHeight="1">
      <c r="A233" s="94"/>
      <c r="B233" s="94"/>
      <c r="C233" s="94"/>
      <c r="D233" s="94"/>
      <c r="E233" s="94"/>
      <c r="F233" s="94"/>
      <c r="G233" s="94"/>
      <c r="H233" s="94"/>
      <c r="I233" s="94"/>
      <c r="J233" s="94"/>
      <c r="K233" s="94"/>
      <c r="L233" s="94"/>
      <c r="M233" s="94"/>
      <c r="N233" s="94"/>
      <c r="O233" s="94"/>
      <c r="P233" s="94"/>
      <c r="Q233" s="94"/>
      <c r="R233" s="94"/>
    </row>
    <row r="234" spans="1:18" ht="15" customHeight="1">
      <c r="A234" s="94"/>
      <c r="B234" s="94"/>
      <c r="C234" s="94"/>
      <c r="D234" s="94"/>
      <c r="E234" s="94"/>
      <c r="F234" s="94"/>
      <c r="G234" s="94"/>
      <c r="H234" s="94"/>
      <c r="I234" s="94"/>
      <c r="J234" s="94"/>
      <c r="K234" s="94"/>
      <c r="L234" s="94"/>
      <c r="M234" s="94"/>
      <c r="N234" s="94"/>
      <c r="O234" s="94"/>
      <c r="P234" s="94"/>
      <c r="Q234" s="94"/>
      <c r="R234" s="94"/>
    </row>
    <row r="235" spans="1:18" ht="15" customHeight="1">
      <c r="A235" s="94"/>
      <c r="B235" s="94"/>
      <c r="C235" s="94"/>
      <c r="D235" s="94"/>
      <c r="E235" s="94"/>
      <c r="F235" s="94"/>
      <c r="G235" s="94"/>
      <c r="H235" s="94"/>
      <c r="I235" s="94"/>
      <c r="J235" s="94"/>
      <c r="K235" s="94"/>
      <c r="L235" s="94"/>
      <c r="M235" s="94"/>
      <c r="N235" s="94"/>
      <c r="O235" s="94"/>
      <c r="P235" s="94"/>
      <c r="Q235" s="94"/>
      <c r="R235" s="94"/>
    </row>
    <row r="236" spans="1:18" ht="15" customHeight="1">
      <c r="A236" s="94"/>
      <c r="B236" s="94"/>
      <c r="C236" s="94"/>
      <c r="D236" s="94"/>
      <c r="E236" s="94"/>
      <c r="F236" s="94"/>
      <c r="G236" s="94"/>
      <c r="H236" s="94"/>
      <c r="I236" s="94"/>
      <c r="J236" s="94"/>
      <c r="K236" s="94"/>
      <c r="L236" s="94"/>
      <c r="M236" s="94"/>
      <c r="N236" s="94"/>
      <c r="O236" s="94"/>
      <c r="P236" s="94"/>
      <c r="Q236" s="94"/>
      <c r="R236" s="94"/>
    </row>
    <row r="237" spans="1:18" ht="15" customHeight="1">
      <c r="A237" s="94"/>
      <c r="B237" s="94"/>
      <c r="C237" s="94"/>
      <c r="D237" s="94"/>
      <c r="E237" s="94"/>
      <c r="F237" s="94"/>
      <c r="G237" s="94"/>
      <c r="H237" s="94"/>
      <c r="I237" s="94"/>
      <c r="J237" s="94"/>
      <c r="K237" s="94"/>
      <c r="L237" s="94"/>
      <c r="M237" s="94"/>
      <c r="N237" s="94"/>
      <c r="O237" s="94"/>
      <c r="P237" s="94"/>
      <c r="Q237" s="94"/>
      <c r="R237" s="94"/>
    </row>
    <row r="238" spans="1:18" ht="15" customHeight="1">
      <c r="A238" s="94"/>
      <c r="B238" s="94"/>
      <c r="C238" s="94"/>
      <c r="D238" s="94"/>
      <c r="E238" s="94"/>
      <c r="F238" s="94"/>
      <c r="G238" s="94"/>
      <c r="H238" s="94"/>
      <c r="I238" s="94"/>
      <c r="J238" s="94"/>
      <c r="K238" s="94"/>
      <c r="L238" s="94"/>
      <c r="M238" s="94"/>
      <c r="N238" s="94"/>
      <c r="O238" s="94"/>
      <c r="P238" s="94"/>
      <c r="Q238" s="94"/>
      <c r="R238" s="94"/>
    </row>
    <row r="239" spans="1:18">
      <c r="A239" s="94"/>
      <c r="B239" s="94"/>
      <c r="C239" s="94"/>
      <c r="D239" s="94"/>
      <c r="E239" s="94"/>
      <c r="F239" s="94"/>
      <c r="G239" s="94"/>
      <c r="H239" s="94"/>
      <c r="I239" s="94"/>
      <c r="J239" s="94"/>
      <c r="K239" s="94"/>
      <c r="L239" s="94"/>
      <c r="M239" s="94"/>
      <c r="N239" s="94"/>
      <c r="O239" s="94"/>
      <c r="P239" s="94"/>
      <c r="Q239" s="94"/>
      <c r="R239" s="94"/>
    </row>
    <row r="242" spans="1:18">
      <c r="A242" s="96" t="s">
        <v>90</v>
      </c>
      <c r="B242" s="97"/>
      <c r="C242" s="97"/>
      <c r="D242" s="97"/>
      <c r="E242" s="97"/>
      <c r="F242" s="97"/>
      <c r="G242" s="97"/>
      <c r="H242" s="97"/>
      <c r="I242" s="97"/>
      <c r="J242" s="97"/>
      <c r="K242" s="97"/>
      <c r="L242" s="97"/>
      <c r="M242" s="97"/>
      <c r="N242" s="97"/>
      <c r="O242" s="97"/>
      <c r="P242" s="97"/>
      <c r="Q242" s="97"/>
      <c r="R242" s="97"/>
    </row>
    <row r="243" spans="1:18">
      <c r="A243" s="97"/>
      <c r="B243" s="97"/>
      <c r="C243" s="97"/>
      <c r="D243" s="97"/>
      <c r="E243" s="97"/>
      <c r="F243" s="97"/>
      <c r="G243" s="97"/>
      <c r="H243" s="97"/>
      <c r="I243" s="97"/>
      <c r="J243" s="97"/>
      <c r="K243" s="97"/>
      <c r="L243" s="97"/>
      <c r="M243" s="97"/>
      <c r="N243" s="97"/>
      <c r="O243" s="97"/>
      <c r="P243" s="97"/>
      <c r="Q243" s="97"/>
      <c r="R243" s="97"/>
    </row>
    <row r="244" spans="1:18">
      <c r="A244" s="97"/>
      <c r="B244" s="97"/>
      <c r="C244" s="97"/>
      <c r="D244" s="97"/>
      <c r="E244" s="97"/>
      <c r="F244" s="97"/>
      <c r="G244" s="97"/>
      <c r="H244" s="97"/>
      <c r="I244" s="97"/>
      <c r="J244" s="97"/>
      <c r="K244" s="97"/>
      <c r="L244" s="97"/>
      <c r="M244" s="97"/>
      <c r="N244" s="97"/>
      <c r="O244" s="97"/>
      <c r="P244" s="97"/>
      <c r="Q244" s="97"/>
      <c r="R244" s="97"/>
    </row>
    <row r="245" spans="1:18">
      <c r="A245" s="97"/>
      <c r="B245" s="97"/>
      <c r="C245" s="97"/>
      <c r="D245" s="97"/>
      <c r="E245" s="97"/>
      <c r="F245" s="97"/>
      <c r="G245" s="97"/>
      <c r="H245" s="97"/>
      <c r="I245" s="97"/>
      <c r="J245" s="97"/>
      <c r="K245" s="97"/>
      <c r="L245" s="97"/>
      <c r="M245" s="97"/>
      <c r="N245" s="97"/>
      <c r="O245" s="97"/>
      <c r="P245" s="97"/>
      <c r="Q245" s="97"/>
      <c r="R245" s="97"/>
    </row>
  </sheetData>
  <mergeCells count="38">
    <mergeCell ref="A205:R239"/>
    <mergeCell ref="A242:R245"/>
    <mergeCell ref="A135:R137"/>
    <mergeCell ref="A138:R175"/>
    <mergeCell ref="A203:R204"/>
    <mergeCell ref="A177:R177"/>
    <mergeCell ref="A178:R201"/>
    <mergeCell ref="C133:D133"/>
    <mergeCell ref="A132:B132"/>
    <mergeCell ref="A133:B133"/>
    <mergeCell ref="A129:B129"/>
    <mergeCell ref="A130:B130"/>
    <mergeCell ref="A131:B131"/>
    <mergeCell ref="A128:D128"/>
    <mergeCell ref="C129:D129"/>
    <mergeCell ref="C130:D130"/>
    <mergeCell ref="C131:D131"/>
    <mergeCell ref="C132:D132"/>
    <mergeCell ref="B113:C113"/>
    <mergeCell ref="B114:C114"/>
    <mergeCell ref="B116:C116"/>
    <mergeCell ref="B115:C115"/>
    <mergeCell ref="A106:C106"/>
    <mergeCell ref="A118:K126"/>
    <mergeCell ref="B107:C107"/>
    <mergeCell ref="B108:C108"/>
    <mergeCell ref="B109:C109"/>
    <mergeCell ref="B110:C110"/>
    <mergeCell ref="B111:C111"/>
    <mergeCell ref="B112:C112"/>
    <mergeCell ref="A32:K38"/>
    <mergeCell ref="A6:K12"/>
    <mergeCell ref="A77:K77"/>
    <mergeCell ref="A95:K103"/>
    <mergeCell ref="A41:K41"/>
    <mergeCell ref="A69:K74"/>
    <mergeCell ref="A15:J15"/>
    <mergeCell ref="A1:B1"/>
  </mergeCells>
  <conditionalFormatting sqref="M88">
    <cfRule type="colorScale" priority="2">
      <colorScale>
        <cfvo type="min" val="0"/>
        <cfvo type="percentile" val="50"/>
        <cfvo type="max" val="0"/>
        <color rgb="FFF8696B"/>
        <color rgb="FFFFEB84"/>
        <color rgb="FF63BE7B"/>
      </colorScale>
    </cfRule>
  </conditionalFormatting>
  <conditionalFormatting sqref="A107:B116">
    <cfRule type="colorScale" priority="1">
      <colorScale>
        <cfvo type="min" val="0"/>
        <cfvo type="percentile" val="50"/>
        <cfvo type="max" val="0"/>
        <color rgb="FFF8696B"/>
        <color rgb="FFFFEB84"/>
        <color rgb="FF63BE7B"/>
      </colorScale>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DocSecurity>0</DocSecurity>
  <ScaleCrop>false</ScaleCrop>
  <HeadingPairs>
    <vt:vector size="2" baseType="variant">
      <vt:variant>
        <vt:lpstr>Worksheets</vt:lpstr>
      </vt:variant>
      <vt:variant>
        <vt:i4>3</vt:i4>
      </vt:variant>
    </vt:vector>
  </HeadingPairs>
  <TitlesOfParts>
    <vt:vector size="3" baseType="lpstr">
      <vt:lpstr>📋 Raw Data</vt:lpstr>
      <vt:lpstr>Price chain analysis</vt:lpstr>
      <vt:lpstr>Dashboards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Kamakshi</cp:lastModifiedBy>
  <cp:revision>0</cp:revision>
  <dcterms:created xsi:type="dcterms:W3CDTF">2026-05-13T18:53:38Z</dcterms:created>
  <dcterms:modified xsi:type="dcterms:W3CDTF">2026-05-15T15:59:06Z</dcterms:modified>
  <dc:language>en-US</dc:language>
</cp:coreProperties>
</file>